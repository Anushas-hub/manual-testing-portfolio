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635" windowHeight="7050" activeTab="5"/>
  </bookViews>
  <sheets>
    <sheet name="Test Plan" sheetId="1" r:id="rId1"/>
    <sheet name="Test Data" sheetId="2" r:id="rId2"/>
    <sheet name="Test Cases" sheetId="3" r:id="rId3"/>
    <sheet name="Bug Reports" sheetId="4" r:id="rId4"/>
    <sheet name="RTM" sheetId="5" r:id="rId5"/>
    <sheet name="Summary" sheetId="6" r:id="rId6"/>
  </sheets>
  <externalReferences>
    <externalReference r:id="rId7"/>
  </externalReferences>
  <definedNames>
    <definedName name="_xlnm._FilterDatabase" localSheetId="2" hidden="1">'Test Cases'!$A$1:$M$29</definedName>
    <definedName name="_xlnm._FilterDatabase" localSheetId="3" hidden="1">'Bug Reports'!$A$1:$O$7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<sst xmlns="http://schemas.openxmlformats.org/spreadsheetml/2006/main" count="805" uniqueCount="419">
  <si>
    <t>Test Plan &amp; Execution Record</t>
  </si>
  <si>
    <t>SauceDemo E-Commerce  |  Manual Functional Testing</t>
  </si>
  <si>
    <t>DOCUMENT CONTROL</t>
  </si>
  <si>
    <t>Document Title</t>
  </si>
  <si>
    <t>SauceDemo E-Commerce — Test Plan &amp; Execution Record</t>
  </si>
  <si>
    <t>Prepared By</t>
  </si>
  <si>
    <t>Anusha Yadav</t>
  </si>
  <si>
    <t>Date</t>
  </si>
  <si>
    <t>Version</t>
  </si>
  <si>
    <t>1.0</t>
  </si>
  <si>
    <t>Status</t>
  </si>
  <si>
    <t>Executed</t>
  </si>
  <si>
    <t>1. OBJECTIVE</t>
  </si>
  <si>
    <t>Purpose</t>
  </si>
  <si>
    <t>Verify that the core shopping flow of Sauce Demo — Login, Product Listing/Sort, Cart and Checkout — works as expected, and record every deviation as a defect with evidence.</t>
  </si>
  <si>
    <t>2. SCOPE</t>
  </si>
  <si>
    <t>In scope</t>
  </si>
  <si>
    <t>• Login (valid, invalid, empty fields, locked-out user, password masking)
• Product Listing and Sorting
• Cart (add, remove, persistence, continue shopping, checkout with empty cart)
• Checkout (information form validation, order overview totals, order completion, cancel)
• Exploratory testing with the 'problem_user' account</t>
  </si>
  <si>
    <t>Out of scope</t>
  </si>
  <si>
    <t>• Performance, security and accessibility testing
• Cross-browser and mobile testing (executed on Chrome only)
• Automation testing
• Burger menu (About, Logout, Reset App State), footer links and product detail pages
• Accounts 'performance_glitch_user', 'error_user' and 'visual_user'</t>
  </si>
  <si>
    <t>3. TEST APPROACH</t>
  </si>
  <si>
    <t>Type</t>
  </si>
  <si>
    <t>Manual, black-box functional testing</t>
  </si>
  <si>
    <t>Techniques</t>
  </si>
  <si>
    <t>Positive and negative testing, input validation checks, error guessing and exploratory testing</t>
  </si>
  <si>
    <t>Method</t>
  </si>
  <si>
    <t>Expected results were defined from the documented behaviour of the application. Each test case was then executed in a live browser and the actual result and status were recorded. Every failure was logged as a defect with a screenshot or screen recording.</t>
  </si>
  <si>
    <t>4. TEST ENVIRONMENT</t>
  </si>
  <si>
    <t>Application URL</t>
  </si>
  <si>
    <t>https://www.saucedemo.com</t>
  </si>
  <si>
    <t>Browser</t>
  </si>
  <si>
    <t>Chrome (latest)</t>
  </si>
  <si>
    <t>Test Data</t>
  </si>
  <si>
    <t>See the 'Test Data' sheet</t>
  </si>
  <si>
    <t>5. ENTRY &amp; EXIT CRITERIA</t>
  </si>
  <si>
    <t>Entry criteria</t>
  </si>
  <si>
    <t>• Application URL is accessible
• Test cases are written and reviewed
• Test accounts and checkout data are available</t>
  </si>
  <si>
    <t>Exit criteria</t>
  </si>
  <si>
    <t>• All test cases are executed and a status is recorded
• Every failed test case has a logged defect with evidence
• Summary metrics are updated</t>
  </si>
  <si>
    <t>6. DEFECT SEVERITY &amp; PRIORITY</t>
  </si>
  <si>
    <t>Severity: Critical</t>
  </si>
  <si>
    <t>Blocks a core flow and there is no workaround (example: BUG_03 — checkout cannot be completed)</t>
  </si>
  <si>
    <t>Severity: High</t>
  </si>
  <si>
    <t>A major function is broken or wrong (example: BUG_02 — item cannot be removed from the cart)</t>
  </si>
  <si>
    <t>Severity: Medium</t>
  </si>
  <si>
    <t>A function works partly or has a validation gap; a workaround exists (example: BUG_01, BUG_04, BUG_05, BUG_06)</t>
  </si>
  <si>
    <t>Severity: Low</t>
  </si>
  <si>
    <t>Cosmetic or minor issue with no impact on function</t>
  </si>
  <si>
    <t>Priority: P1</t>
  </si>
  <si>
    <t>Fix immediately — blocks testing or release</t>
  </si>
  <si>
    <t>Priority: P2</t>
  </si>
  <si>
    <t>Fix in the current cycle</t>
  </si>
  <si>
    <t>Priority: P3</t>
  </si>
  <si>
    <t>Fix when time permits / next cycle</t>
  </si>
  <si>
    <t>7. DELIVERABLES</t>
  </si>
  <si>
    <t>Workbook</t>
  </si>
  <si>
    <t>Test Plan, Test Data, Test Cases, Bug Reports, RTM (traceability) and Evidence sheets, plus this Summary</t>
  </si>
  <si>
    <t>Evidence</t>
  </si>
  <si>
    <t>Screenshot of every test case in the GitHub folder 'saucedemo-test-cases/screenshots'; screen recordings for bugs on Google Drive (links in Bug Reports)</t>
  </si>
  <si>
    <t>GitHub</t>
  </si>
  <si>
    <t>https://github.com/Anushas-hub/manual-testing-portfolio/tree/main/saucedemo-test-cases</t>
  </si>
  <si>
    <t>8. ASSUMPTIONS &amp; RISKS</t>
  </si>
  <si>
    <t>Assumptions</t>
  </si>
  <si>
    <t>• Sauce Demo has no formal requirements document, so requirements (see RTM sheet) are derived from the observed behaviour of the application.
• Results are valid for the application build and Chrome version available on the test date.</t>
  </si>
  <si>
    <t>Risks</t>
  </si>
  <si>
    <t>• Sauce Demo is a practice application and intentionally contains defects for some users (for example 'problem_user').
• Testing was done on one browser only.</t>
  </si>
  <si>
    <t>Accounts, checkout inputs and product reference used during execution</t>
  </si>
  <si>
    <t>A. LOGIN ACCOUNTS (public demo credentials shown on saucedemo.com)</t>
  </si>
  <si>
    <t>Username</t>
  </si>
  <si>
    <t>Password</t>
  </si>
  <si>
    <t>Behaviour</t>
  </si>
  <si>
    <t>Used In</t>
  </si>
  <si>
    <t>standard_user</t>
  </si>
  <si>
    <t>secret_sauce</t>
  </si>
  <si>
    <t>Normal user, expected to work without issues</t>
  </si>
  <si>
    <t>TC_01, TC_03, TC_05, TC_09–TC_28, BUG_05, BUG_06</t>
  </si>
  <si>
    <t>locked_out_user</t>
  </si>
  <si>
    <t>Account is locked; login is not allowed</t>
  </si>
  <si>
    <t>TC_07</t>
  </si>
  <si>
    <t>problem_user</t>
  </si>
  <si>
    <t>Shows deliberate glitches (wrong images, broken cart/sort/checkout)</t>
  </si>
  <si>
    <t>BUG_01–BUG_04 (exploratory)</t>
  </si>
  <si>
    <t>performance_glitch_user</t>
  </si>
  <si>
    <t>Slow responses</t>
  </si>
  <si>
    <t>Not used (out of scope)</t>
  </si>
  <si>
    <t>error_user</t>
  </si>
  <si>
    <t>Errors on some actions</t>
  </si>
  <si>
    <t>visual_user</t>
  </si>
  <si>
    <t>Visual/layout differences</t>
  </si>
  <si>
    <t>B. INVALID LOGIN INPUTS</t>
  </si>
  <si>
    <t>Data Set</t>
  </si>
  <si>
    <t>Invalid username</t>
  </si>
  <si>
    <t>wrong_user</t>
  </si>
  <si>
    <t>TC_02</t>
  </si>
  <si>
    <t>Invalid password</t>
  </si>
  <si>
    <t>wrong_pass</t>
  </si>
  <si>
    <t>TC_03</t>
  </si>
  <si>
    <t>Empty username</t>
  </si>
  <si>
    <t>(blank)</t>
  </si>
  <si>
    <t>TC_04</t>
  </si>
  <si>
    <t>Empty password</t>
  </si>
  <si>
    <t>TC_05</t>
  </si>
  <si>
    <t>Both empty</t>
  </si>
  <si>
    <t>TC_06</t>
  </si>
  <si>
    <t>C. CHECKOUT INFORMATION</t>
  </si>
  <si>
    <t>First Name</t>
  </si>
  <si>
    <t>Last Name</t>
  </si>
  <si>
    <t>Zip / Postal Code</t>
  </si>
  <si>
    <t>Valid</t>
  </si>
  <si>
    <t>Anusha</t>
  </si>
  <si>
    <t>Yadav</t>
  </si>
  <si>
    <t>400001</t>
  </si>
  <si>
    <t>TC_20</t>
  </si>
  <si>
    <t>First Name empty</t>
  </si>
  <si>
    <t>TC_21</t>
  </si>
  <si>
    <t>Last Name empty</t>
  </si>
  <si>
    <t>TC_22</t>
  </si>
  <si>
    <t>Postal Code empty</t>
  </si>
  <si>
    <t>TC_23</t>
  </si>
  <si>
    <t>All empty</t>
  </si>
  <si>
    <t>TC_24</t>
  </si>
  <si>
    <t>Special characters</t>
  </si>
  <si>
    <t>12345!@#</t>
  </si>
  <si>
    <t>TC_25, BUG_06</t>
  </si>
  <si>
    <t>D. PRODUCT CATALOGUE (reference for cart and total checks)</t>
  </si>
  <si>
    <t>Product</t>
  </si>
  <si>
    <t>Price (USD)</t>
  </si>
  <si>
    <t>Sauce Labs Backpack</t>
  </si>
  <si>
    <t>Sauce Labs Bike Light</t>
  </si>
  <si>
    <t>Sauce Labs Bolt T-Shirt</t>
  </si>
  <si>
    <t>Sauce Labs Fleece Jacket</t>
  </si>
  <si>
    <t>Sauce Labs Onesie</t>
  </si>
  <si>
    <t>Test.allTheThings() T-Shirt (Red)</t>
  </si>
  <si>
    <t>Tax rate (observed)</t>
  </si>
  <si>
    <t>Check (TC_26): Backpack tax</t>
  </si>
  <si>
    <t>Matches TC_26: Item total $29.99 + Tax $2.40 = Total $32.39. Blue = input values; black = formulas.</t>
  </si>
  <si>
    <t>Check (TC_26): Total</t>
  </si>
  <si>
    <t>Test Case ID</t>
  </si>
  <si>
    <t>Module</t>
  </si>
  <si>
    <t>Test Scenario</t>
  </si>
  <si>
    <t>Precondition</t>
  </si>
  <si>
    <t>Test Steps</t>
  </si>
  <si>
    <t>Expected Result</t>
  </si>
  <si>
    <t>Actual Result</t>
  </si>
  <si>
    <t>Priority</t>
  </si>
  <si>
    <t>Severity</t>
  </si>
  <si>
    <t>Req ID</t>
  </si>
  <si>
    <t>Bug ID</t>
  </si>
  <si>
    <t>TC_01</t>
  </si>
  <si>
    <t>Login</t>
  </si>
  <si>
    <t>Verify login with valid credentials</t>
  </si>
  <si>
    <t>User is on the Login page (saucedemo.com)</t>
  </si>
  <si>
    <t>1. Enter username 'standard_user'
2. Enter password 'secret_sauce'
3. Click Login</t>
  </si>
  <si>
    <t>standard_user / secret_sauce</t>
  </si>
  <si>
    <t>User is redirected to the Products page; page title reads 'Products'</t>
  </si>
  <si>
    <t>Pass</t>
  </si>
  <si>
    <t>High</t>
  </si>
  <si>
    <t>N/A</t>
  </si>
  <si>
    <t>REQ_01</t>
  </si>
  <si>
    <t>-</t>
  </si>
  <si>
    <t>Verify login with invalid username</t>
  </si>
  <si>
    <t>User is on the Login page</t>
  </si>
  <si>
    <t>1. Enter username 'wrong_user'
2. Enter password 'secret_sauce'
3. Click Login</t>
  </si>
  <si>
    <t>wrong_user / secret_sauce</t>
  </si>
  <si>
    <t>Error shown: 'Epic sadface: Username and password do not match any user in this service'</t>
  </si>
  <si>
    <t>REQ_02</t>
  </si>
  <si>
    <t>Verify login with invalid password</t>
  </si>
  <si>
    <t>1. Enter username 'standard_user'
2. Enter password 'wrong_pass'
3. Click Login</t>
  </si>
  <si>
    <t>standard_user / wrong_pass</t>
  </si>
  <si>
    <t>Verify login with empty username field</t>
  </si>
  <si>
    <t>1. Leave username blank
2. Enter password 'secret_sauce'
3. Click Login</t>
  </si>
  <si>
    <t>(blank) / secret_sauce</t>
  </si>
  <si>
    <t>Error shown: 'Epic sadface: Username is required'</t>
  </si>
  <si>
    <t>Medium</t>
  </si>
  <si>
    <t>REQ_03</t>
  </si>
  <si>
    <t>Verify login with empty password field</t>
  </si>
  <si>
    <t>1. Enter username 'standard_user'
2. Leave password blank
3. Click Login</t>
  </si>
  <si>
    <t>standard_user / (blank)</t>
  </si>
  <si>
    <t>Error shown: 'Epic sadface: Password is required'</t>
  </si>
  <si>
    <t>Verify login with both fields empty</t>
  </si>
  <si>
    <t>1. Leave username blank
2. Leave password blank
3. Click Login</t>
  </si>
  <si>
    <t>(blank) / (blank)</t>
  </si>
  <si>
    <t>Error shown: 'Epic sadface: Username is required' (username validated first)</t>
  </si>
  <si>
    <t>Low</t>
  </si>
  <si>
    <t>Verify login with a locked-out account</t>
  </si>
  <si>
    <t>1. Enter username 'locked_out_user'
2. Enter password 'secret_sauce'
3. Click Login</t>
  </si>
  <si>
    <t>locked_out_user / secret_sauce</t>
  </si>
  <si>
    <t>Error shown: 'Epic sadface: Sorry, this user has been locked out.'</t>
  </si>
  <si>
    <t>REQ_04</t>
  </si>
  <si>
    <t>TC_08</t>
  </si>
  <si>
    <t>Verify password field masks entered characters</t>
  </si>
  <si>
    <t>1. Click password field
2. Type any password</t>
  </si>
  <si>
    <t>Characters are masked (shown as dots), not visible in plain text</t>
  </si>
  <si>
    <t>REQ_05</t>
  </si>
  <si>
    <t>TC_09</t>
  </si>
  <si>
    <t>Product Listing / Sort</t>
  </si>
  <si>
    <t>Verify all products display with name, image, price and description</t>
  </si>
  <si>
    <t>User is logged in as standard_user</t>
  </si>
  <si>
    <t>1. Land on the Products page
2. Observe the product grid</t>
  </si>
  <si>
    <t>All 6 products (Sauce Labs Backpack, Bike Light, Bolt T-Shirt, Fleece Jacket, Onesie, Test.allTheThings() T-Shirt) display with image, name, description and price</t>
  </si>
  <si>
    <t>All 6 products are displayed with image, name, description and price</t>
  </si>
  <si>
    <t>REQ_06</t>
  </si>
  <si>
    <t>TC_10</t>
  </si>
  <si>
    <t>Verify default sort order on page load</t>
  </si>
  <si>
    <t>1. Land on the Products page
2. Check the sort dropdown and product order</t>
  </si>
  <si>
    <t>Sort dropdown defaults to 'Name (A to Z)' and products are listed alphabetically</t>
  </si>
  <si>
    <t>REQ_07</t>
  </si>
  <si>
    <t>TC_11</t>
  </si>
  <si>
    <t>Verify sorting by Price (low to high)</t>
  </si>
  <si>
    <t>User is on the Products page</t>
  </si>
  <si>
    <t>1. Open sort dropdown
2. Select 'Price (low to high)'</t>
  </si>
  <si>
    <t>Products re-order with the lowest price first, highest price last</t>
  </si>
  <si>
    <t>TC_12</t>
  </si>
  <si>
    <t>Verify sorting by Price (high to low)</t>
  </si>
  <si>
    <t>1. Open sort dropdown
2. Select 'Price (high to low)'</t>
  </si>
  <si>
    <t>Products re-order with the highest price first, lowest price last</t>
  </si>
  <si>
    <t>TC_13</t>
  </si>
  <si>
    <t>Verify sorting by Name (Z to A)</t>
  </si>
  <si>
    <t>1. Open sort dropdown
2. Select 'Name (Z to A)'</t>
  </si>
  <si>
    <t>Products re-order in reverse alphabetical order</t>
  </si>
  <si>
    <t>TC_14</t>
  </si>
  <si>
    <t>Cart</t>
  </si>
  <si>
    <t>Verify adding a single product updates the cart badge</t>
  </si>
  <si>
    <t>1. Click 'Add to cart' on Sauce Labs Backpack
2. Observe the cart icon</t>
  </si>
  <si>
    <t>Cart badge shows '1'; button label changes to 'Remove'</t>
  </si>
  <si>
    <t>REQ_08</t>
  </si>
  <si>
    <t>TC_15</t>
  </si>
  <si>
    <t>Verify adding multiple products updates the cart badge correctly</t>
  </si>
  <si>
    <t>1. Add Sauce Labs Backpack to cart
2. Add Sauce Labs Bike Light to cart
3. Observe the cart icon</t>
  </si>
  <si>
    <t>2 products</t>
  </si>
  <si>
    <t>Cart badge shows '2'</t>
  </si>
  <si>
    <t>TC_16</t>
  </si>
  <si>
    <t>Verify removing an item from the cart page</t>
  </si>
  <si>
    <t>At least one item is in the cart</t>
  </si>
  <si>
    <t>1. Open Cart page
2. Click 'Remove' next to an item</t>
  </si>
  <si>
    <t>Item is removed from the list; cart badge count decreases / disappears if cart is empty</t>
  </si>
  <si>
    <t>REQ_09</t>
  </si>
  <si>
    <t>TC_17</t>
  </si>
  <si>
    <t>Verify cart contents persist across navigation</t>
  </si>
  <si>
    <t>1. Add an item to cart
2. Navigate back to Products page
3. Re-open Cart page</t>
  </si>
  <si>
    <t>Previously added item is still present in the cart</t>
  </si>
  <si>
    <t>REQ_10</t>
  </si>
  <si>
    <t>TC_18</t>
  </si>
  <si>
    <t>Verify 'Continue Shopping' returns user to Products page</t>
  </si>
  <si>
    <t>User is on the Cart page</t>
  </si>
  <si>
    <t>1. Click 'Continue Shopping'</t>
  </si>
  <si>
    <t>User is navigated back to the Products page with cart contents unchanged</t>
  </si>
  <si>
    <t>REQ_11</t>
  </si>
  <si>
    <t>TC_19</t>
  </si>
  <si>
    <t>Verify behaviour when proceeding to checkout with an empty cart</t>
  </si>
  <si>
    <t>Cart is empty (0 items)</t>
  </si>
  <si>
    <t>1. Open Cart page with 0 items
2. Click 'Checkout'</t>
  </si>
  <si>
    <t>0 items</t>
  </si>
  <si>
    <t>Checkout is blocked when the cart is empty and a message is shown to the user</t>
  </si>
  <si>
    <t>Checkout proceeded with 0 items. Overview page showed Item total $0, Tax $0.00, Total $0.00 with no products listed. Clicking Finish showed 'Thank you for your order!' (checkout-complete.html). No block or warning message was shown.</t>
  </si>
  <si>
    <t>Fail</t>
  </si>
  <si>
    <t>REQ_12</t>
  </si>
  <si>
    <t>BUG_05</t>
  </si>
  <si>
    <t>Checkout</t>
  </si>
  <si>
    <t>Verify checkout with all valid details</t>
  </si>
  <si>
    <t>At least one item is in the cart; user is on the Checkout: Your Information page</t>
  </si>
  <si>
    <t>1. Enter First Name 'Anusha'
2. Enter Last Name 'Yadav'
3. Enter Zip/Postal Code '400001'
4. Click Continue</t>
  </si>
  <si>
    <t>Anusha / Yadav / 400001</t>
  </si>
  <si>
    <t>User proceeds to the 'Checkout: Overview' page showing item total, tax and total</t>
  </si>
  <si>
    <t>REQ_13</t>
  </si>
  <si>
    <t>Verify checkout with First Name left empty</t>
  </si>
  <si>
    <t>User is on the Checkout: Your Information page</t>
  </si>
  <si>
    <t>1. Leave First Name blank
2. Enter Last Name 'Yadav'
3. Enter Zip '400001'
4. Click Continue</t>
  </si>
  <si>
    <t>(blank) / Yadav / 400001</t>
  </si>
  <si>
    <t>Error shown: 'Error: First Name is required'</t>
  </si>
  <si>
    <t>REQ_14</t>
  </si>
  <si>
    <t>Verify checkout with Last Name left empty</t>
  </si>
  <si>
    <t>1. Enter First Name 'Anusha'
2. Leave Last Name blank
3. Enter Zip '400001'
4. Click Continue</t>
  </si>
  <si>
    <t>Anusha / (blank) / 400001</t>
  </si>
  <si>
    <t>Error shown: 'Error: Last Name is required'</t>
  </si>
  <si>
    <t>Verify checkout with Postal Code left empty</t>
  </si>
  <si>
    <t>1. Enter First Name 'Anusha'
2. Enter Last Name 'Yadav'
3. Leave Zip blank
4. Click Continue</t>
  </si>
  <si>
    <t>Anusha / Yadav / (blank)</t>
  </si>
  <si>
    <t>Error shown: 'Error: Postal Code is required'</t>
  </si>
  <si>
    <t>Verify checkout with all fields left empty</t>
  </si>
  <si>
    <t>1. Leave all fields blank
2. Click Continue</t>
  </si>
  <si>
    <t>(blank) / (blank) / (blank)</t>
  </si>
  <si>
    <t>Error shown: 'Error: First Name is required' (first field validated first, top to bottom)</t>
  </si>
  <si>
    <t>TC_25</t>
  </si>
  <si>
    <t>Verify First Name field rejects numbers/special characters (negative)</t>
  </si>
  <si>
    <t>1. Enter First Name '12345!@#'
2. Enter Last Name 'Yadav'
3. Enter Zip '400001'
4. Click Continue</t>
  </si>
  <si>
    <t>12345!@# / Yadav / 400001</t>
  </si>
  <si>
    <t>Name field rejects non-alphabetic input and shows a validation error</t>
  </si>
  <si>
    <t>App accepted the input silently; no error message was shown.</t>
  </si>
  <si>
    <t>REQ_15</t>
  </si>
  <si>
    <t>BUG_06</t>
  </si>
  <si>
    <t>TC_26</t>
  </si>
  <si>
    <t>Verify Order Overview shows correct Item total, Tax and Total</t>
  </si>
  <si>
    <t>User has proceeded past the Checkout information page</t>
  </si>
  <si>
    <t>1. Complete Your Information step
2. Observe the Overview page amounts</t>
  </si>
  <si>
    <t>1 item at $29.99</t>
  </si>
  <si>
    <t>Item total, Tax and Total are displayed and Total = Item total + Tax, matching the cart contents</t>
  </si>
  <si>
    <t>Item total $29.99, Tax $2.40, Total $32.39 displayed. Total = Item total + Tax (verified manually: 29.99 + 2.40 = 32.39). Amounts match cart contents (1 x Backpack $29.99).</t>
  </si>
  <si>
    <t>REQ_16</t>
  </si>
  <si>
    <t>TC_27</t>
  </si>
  <si>
    <t>Verify order completion on clicking Finish</t>
  </si>
  <si>
    <t>User is on the Checkout: Overview page</t>
  </si>
  <si>
    <t>1. Click 'Finish'</t>
  </si>
  <si>
    <t>Confirmation page displays 'Thank you for your order!' with the Pony Express dispatch message</t>
  </si>
  <si>
    <t>Confirmation page displays 'Thank you for your order!' Your order has been dispatched, and will arrive just as fast as the pony can get there!</t>
  </si>
  <si>
    <t>REQ_17</t>
  </si>
  <si>
    <t>TC_28</t>
  </si>
  <si>
    <t>Verify 'Cancel' on checkout returns to Products and cart state</t>
  </si>
  <si>
    <t>User is on the Checkout: Your Information or Overview page</t>
  </si>
  <si>
    <t>1. Click 'Cancel'</t>
  </si>
  <si>
    <t>User is returned to the Products (or Cart) page</t>
  </si>
  <si>
    <t>REQ_18</t>
  </si>
  <si>
    <t>Title</t>
  </si>
  <si>
    <t>Steps to Reproduce</t>
  </si>
  <si>
    <t>Test Data / Account Used</t>
  </si>
  <si>
    <t>Environment</t>
  </si>
  <si>
    <t>Screenshot/Screen Recording</t>
  </si>
  <si>
    <t>Reported By</t>
  </si>
  <si>
    <t>Related Test Case</t>
  </si>
  <si>
    <t>BUG_01</t>
  </si>
  <si>
    <t>Product images do not match product names</t>
  </si>
  <si>
    <t>1. Log in as 'problem_user' / secret_sauce
2. Open the Products page
3. Compare each product's image to its name/description</t>
  </si>
  <si>
    <t>problem_user account</t>
  </si>
  <si>
    <t>Each product image should visually match its name (e.g. 'Sauce Labs Backpack' shows a backpack image)</t>
  </si>
  <si>
    <t>All product images are incorrect and do not match the product name</t>
  </si>
  <si>
    <t>P2</t>
  </si>
  <si>
    <t>Chrome (latest), saucedemo.com</t>
  </si>
  <si>
    <t>View evidence</t>
  </si>
  <si>
    <t>Confirmed</t>
  </si>
  <si>
    <t>Exploratory (problem_user)</t>
  </si>
  <si>
    <t>BUG_02</t>
  </si>
  <si>
    <t>Cannot remove certain items from the cart once added</t>
  </si>
  <si>
    <t>1. Log in as 'problem_user' / secret_sauce
2. Add 'Sauce Labs Backpack' to the cart
3. Open Cart page
4. Click 'Remove'</t>
  </si>
  <si>
    <t>Item should be removed from the cart and the cart badge count should decrease</t>
  </si>
  <si>
    <t>'Remove' button does not remove the item; item stays in the cart</t>
  </si>
  <si>
    <t>P1</t>
  </si>
  <si>
    <t>BUG_03</t>
  </si>
  <si>
    <t>Last Name field cannot be typed into at checkout, blocking order completion</t>
  </si>
  <si>
    <t>1. Log in as 'problem_user' / secret_sauce
2. Add any item to cart and proceed to Checkout
3. Try to type into the Last Name field</t>
  </si>
  <si>
    <t>User should be able to type a last name and complete checkout</t>
  </si>
  <si>
    <t>Last Name field does not accept keyboard input, so the checkout flow cannot be completed</t>
  </si>
  <si>
    <t>Critical</t>
  </si>
  <si>
    <t>BUG_04</t>
  </si>
  <si>
    <t>Product sort dropdown has no effect on product order</t>
  </si>
  <si>
    <t>1. Log in as 'problem_user' / secret_sauce
2. Open the Products page
3. Select any option in the sort dropdown</t>
  </si>
  <si>
    <t>Product list should re-order according to the selected sort option</t>
  </si>
  <si>
    <t>Product order does not change regardless of the option selected</t>
  </si>
  <si>
    <t>P3</t>
  </si>
  <si>
    <t>Checkout is allowed with an empty cart (0 items)</t>
  </si>
  <si>
    <t>1. Log in as 'standard_user' / secret_sauce
2. Remove all items so the cart is empty
3. On the Cart page, click 'Checkout' and enter First Name, Last Name and Postal Code
4. Click 'Continue'
5. Click 'Finish' on the Overview page</t>
  </si>
  <si>
    <t>Checkout should be blocked when the cart is empty, and a message should be shown to the user</t>
  </si>
  <si>
    <t>Name field accepts numbers and special characters without validation</t>
  </si>
  <si>
    <t>1. Log in as 'standard_user' / secret_sauce
2. Add an item to the cart
3. Click 'Checkout'
4. Enter '12345!@#' as First Name, 'Yadav' as Last Name and '400001' as Zip on the Your Information page
5. Click 'Continue'
6. Click 'Finish'</t>
  </si>
  <si>
    <t>standard_user / secret_sauce
First Name '12345!@#', Last Name 'Yadav', Zip '400001'</t>
  </si>
  <si>
    <t>Name field should reject non-alphabetic input and show a validation error</t>
  </si>
  <si>
    <t>Requirement Traceability Matrix (RTM)</t>
  </si>
  <si>
    <t>Requirements are derived from observed application behaviour (Sauce Demo has no formal SRS)</t>
  </si>
  <si>
    <t>Status reflects the 'standard_user' test cases. Bugs marked 'problem_user' were found by exploratory testing and have no separate test case.</t>
  </si>
  <si>
    <t>Requirement</t>
  </si>
  <si>
    <t>Test Case IDs</t>
  </si>
  <si>
    <t>Total TCs</t>
  </si>
  <si>
    <t>Passed</t>
  </si>
  <si>
    <t>Failed</t>
  </si>
  <si>
    <t>Linked Bugs</t>
  </si>
  <si>
    <t>User can log in with valid credentials and lands on the Products page</t>
  </si>
  <si>
    <t>Login is rejected with a clear error for an invalid username or password</t>
  </si>
  <si>
    <t>TC_02 – TC_03</t>
  </si>
  <si>
    <t>Username and Password are mandatory; a specific error is shown when either is empty</t>
  </si>
  <si>
    <t>TC_04 – TC_06</t>
  </si>
  <si>
    <t>A locked-out user cannot log in and sees a lock-out message</t>
  </si>
  <si>
    <t>Password characters are masked while typing</t>
  </si>
  <si>
    <t>All products display image, name, description and price</t>
  </si>
  <si>
    <t>BUG_01 (problem_user, exploratory)</t>
  </si>
  <si>
    <t>Products can be sorted by name and price (default: Name A to Z)</t>
  </si>
  <si>
    <t>TC_10 – TC_13</t>
  </si>
  <si>
    <t>BUG_04 (problem_user, exploratory)</t>
  </si>
  <si>
    <t>Adding products updates the cart badge and the button label</t>
  </si>
  <si>
    <t>TC_14 – TC_15</t>
  </si>
  <si>
    <t>User can remove an item from the cart</t>
  </si>
  <si>
    <t>BUG_02 (problem_user, exploratory)</t>
  </si>
  <si>
    <t>Cart contents persist when navigating between pages</t>
  </si>
  <si>
    <t>'Continue Shopping' returns the user to the Products page</t>
  </si>
  <si>
    <t>Checkout is not allowed with an empty cart</t>
  </si>
  <si>
    <t>User can continue with a valid First Name, Last Name and Postal Code</t>
  </si>
  <si>
    <t>BUG_03 (problem_user, exploratory)</t>
  </si>
  <si>
    <t>First Name, Last Name and Postal Code are mandatory; specific errors are shown</t>
  </si>
  <si>
    <t>TC_21 – TC_24</t>
  </si>
  <si>
    <t>Name fields validate input (numbers/special characters are rejected)</t>
  </si>
  <si>
    <t>Order Overview shows correct Item total, Tax and Total</t>
  </si>
  <si>
    <t>User can complete the order and sees a confirmation message</t>
  </si>
  <si>
    <t>User can cancel checkout and return to the previous page</t>
  </si>
  <si>
    <t>Total</t>
  </si>
  <si>
    <t>SauceDemo E-Commerce — Test Summary Report</t>
  </si>
  <si>
    <t>Manual Functional Testing (Black-box)  |  saucedemo.com</t>
  </si>
  <si>
    <t>PROJECT INFORMATION</t>
  </si>
  <si>
    <t>Application Under Test</t>
  </si>
  <si>
    <t>Sauce Demo (https://www.saucedemo.com)</t>
  </si>
  <si>
    <t>Tested By</t>
  </si>
  <si>
    <t>Test Type</t>
  </si>
  <si>
    <t>Manual Functional (Black-box)</t>
  </si>
  <si>
    <t>Test Date</t>
  </si>
  <si>
    <t>GitHub Repository</t>
  </si>
  <si>
    <t>TEST EXECUTION SUMMARY</t>
  </si>
  <si>
    <t>Total Test Cases</t>
  </si>
  <si>
    <t>Not Executed</t>
  </si>
  <si>
    <t>Pass % (of executed)</t>
  </si>
  <si>
    <t>Execution % (of total)</t>
  </si>
  <si>
    <t>Screenshots Uploaded to GitHub</t>
  </si>
  <si>
    <t>MODULE-WISE RESULTS</t>
  </si>
  <si>
    <t>Pass %</t>
  </si>
  <si>
    <t>DEFECT SUMMARY</t>
  </si>
  <si>
    <t>Total Bugs Logged</t>
  </si>
  <si>
    <t>By Severity</t>
  </si>
  <si>
    <t>Count</t>
  </si>
  <si>
    <t>By Priority</t>
  </si>
  <si>
    <t>By Module</t>
  </si>
  <si>
    <t>KEY OBSERVATIONS</t>
  </si>
  <si>
    <t>• BUG_01 to BUG_04 were found by exploratory testing with the 'problem_user' account.</t>
  </si>
  <si>
    <t>• Highest severity defect: BUG_03 (Critical) — the Last Name field cannot be typed into at checkout, so an order cannot be completed.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</si>
</sst>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
    <numFmt numFmtId="180" formatCode="&quot;$&quot;#,##0.00"/>
  </numFmts>
  <fonts count="30">
    <font>
      <sz val="11"/>
      <color theme="1"/>
      <name val="Calibri"/>
      <charset val="134"/>
      <scheme val="minor"/>
    </font>
    <font>
      <b/>
      <sz val="16"/>
      <color rgb="FFFFFFFF"/>
      <name val="Arial"/>
      <charset val="134"/>
    </font>
    <font>
      <sz val="11"/>
      <name val="Calibri"/>
      <charset val="134"/>
      <scheme val="minor"/>
    </font>
    <font>
      <i/>
      <sz val="10"/>
      <color rgb="FF404040"/>
      <name val="Arial"/>
      <charset val="134"/>
    </font>
    <font>
      <b/>
      <sz val="11"/>
      <color rgb="FFFFFFFF"/>
      <name val="Arial"/>
      <charset val="134"/>
    </font>
    <font>
      <b/>
      <sz val="10"/>
      <color theme="1"/>
      <name val="Arial"/>
      <charset val="134"/>
    </font>
    <font>
      <sz val="10"/>
      <color theme="1"/>
      <name val="Arial"/>
      <charset val="134"/>
    </font>
    <font>
      <u/>
      <sz val="10"/>
      <color rgb="FF0563C1"/>
      <name val="Arial"/>
      <charset val="134"/>
    </font>
    <font>
      <b/>
      <sz val="10"/>
      <color rgb="FFFFFFFF"/>
      <name val="Arial"/>
      <charset val="134"/>
    </font>
    <font>
      <i/>
      <sz val="10"/>
      <color rgb="FF595959"/>
      <name val="Arial"/>
      <charset val="134"/>
    </font>
    <font>
      <sz val="10"/>
      <color rgb="FF0000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3864"/>
        <bgColor rgb="FF1F3864"/>
      </patternFill>
    </fill>
    <fill>
      <patternFill patternType="solid">
        <fgColor rgb="FFDDEBF7"/>
        <bgColor rgb="FFDDEBF7"/>
      </patternFill>
    </fill>
    <fill>
      <patternFill patternType="solid">
        <fgColor rgb="FF2E75B6"/>
        <bgColor rgb="FF2E75B6"/>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6"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7" borderId="8" applyNumberFormat="0" applyAlignment="0" applyProtection="0">
      <alignment vertical="center"/>
    </xf>
    <xf numFmtId="0" fontId="20" fillId="8" borderId="9" applyNumberFormat="0" applyAlignment="0" applyProtection="0">
      <alignment vertical="center"/>
    </xf>
    <xf numFmtId="0" fontId="21" fillId="8" borderId="8" applyNumberFormat="0" applyAlignment="0" applyProtection="0">
      <alignment vertical="center"/>
    </xf>
    <xf numFmtId="0" fontId="22" fillId="9"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42">
    <xf numFmtId="0" fontId="0" fillId="0" borderId="0" xfId="0" applyFont="1" applyAlignment="1"/>
    <xf numFmtId="0" fontId="1" fillId="2" borderId="0" xfId="0" applyFont="1" applyFill="1" applyBorder="1" applyAlignment="1">
      <alignment vertical="center"/>
    </xf>
    <xf numFmtId="0" fontId="2" fillId="0" borderId="0" xfId="0" applyFont="1" applyBorder="1"/>
    <xf numFmtId="0" fontId="3" fillId="3" borderId="0" xfId="0" applyFont="1" applyFill="1" applyBorder="1" applyAlignment="1">
      <alignment vertical="center"/>
    </xf>
    <xf numFmtId="0" fontId="4" fillId="4" borderId="0" xfId="0" applyFont="1" applyFill="1" applyBorder="1" applyAlignment="1">
      <alignment vertical="center"/>
    </xf>
    <xf numFmtId="0" fontId="5" fillId="5" borderId="1" xfId="0" applyFont="1" applyFill="1" applyBorder="1"/>
    <xf numFmtId="0" fontId="6" fillId="0" borderId="2" xfId="0" applyFont="1" applyBorder="1" applyAlignment="1">
      <alignment horizontal="left"/>
    </xf>
    <xf numFmtId="0" fontId="2" fillId="0" borderId="3" xfId="0" applyFont="1" applyBorder="1"/>
    <xf numFmtId="0" fontId="2" fillId="0" borderId="4" xfId="0" applyFont="1" applyBorder="1"/>
    <xf numFmtId="178" fontId="6" fillId="0" borderId="2" xfId="0" applyNumberFormat="1" applyFont="1" applyBorder="1" applyAlignment="1">
      <alignment horizontal="left"/>
    </xf>
    <xf numFmtId="0" fontId="7" fillId="0" borderId="2" xfId="0" applyFont="1" applyBorder="1" applyAlignment="1">
      <alignment horizontal="left"/>
    </xf>
    <xf numFmtId="0" fontId="5" fillId="0" borderId="1" xfId="0" applyFont="1" applyBorder="1" applyAlignment="1">
      <alignment horizontal="center"/>
    </xf>
    <xf numFmtId="0" fontId="6" fillId="0" borderId="1" xfId="0" applyFont="1" applyBorder="1" applyAlignment="1">
      <alignment horizontal="center"/>
    </xf>
    <xf numFmtId="179" fontId="5" fillId="0" borderId="1" xfId="0" applyNumberFormat="1" applyFont="1" applyBorder="1" applyAlignment="1">
      <alignment horizontal="center"/>
    </xf>
    <xf numFmtId="179" fontId="6" fillId="0" borderId="1" xfId="0" applyNumberFormat="1" applyFont="1" applyBorder="1" applyAlignment="1">
      <alignment horizontal="center"/>
    </xf>
    <xf numFmtId="0" fontId="8" fillId="2" borderId="1" xfId="0" applyFont="1" applyFill="1" applyBorder="1" applyAlignment="1">
      <alignment horizontal="center" vertical="center" wrapText="1"/>
    </xf>
    <xf numFmtId="0" fontId="5" fillId="0" borderId="1" xfId="0" applyFont="1" applyBorder="1" applyAlignment="1">
      <alignment horizontal="left"/>
    </xf>
    <xf numFmtId="0" fontId="5" fillId="3" borderId="1" xfId="0" applyFont="1" applyFill="1" applyBorder="1" applyAlignment="1">
      <alignment horizontal="left"/>
    </xf>
    <xf numFmtId="0" fontId="5" fillId="3" borderId="1" xfId="0" applyFont="1" applyFill="1" applyBorder="1" applyAlignment="1">
      <alignment horizontal="center"/>
    </xf>
    <xf numFmtId="179" fontId="5" fillId="3" borderId="1" xfId="0" applyNumberFormat="1" applyFont="1" applyFill="1" applyBorder="1" applyAlignment="1">
      <alignment horizontal="center"/>
    </xf>
    <xf numFmtId="0" fontId="5" fillId="0" borderId="1" xfId="0" applyFont="1" applyBorder="1"/>
    <xf numFmtId="0" fontId="6" fillId="0" borderId="2" xfId="0" applyFont="1" applyBorder="1" applyAlignment="1">
      <alignment vertical="center" wrapText="1"/>
    </xf>
    <xf numFmtId="0" fontId="9" fillId="0" borderId="0" xfId="0" applyFont="1" applyAlignment="1">
      <alignment vertical="center"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5" fillId="0" borderId="0" xfId="0" applyFont="1" applyAlignment="1">
      <alignment horizontal="right"/>
    </xf>
    <xf numFmtId="0" fontId="5" fillId="5" borderId="1" xfId="0" applyFont="1" applyFill="1" applyBorder="1" applyAlignment="1">
      <alignment horizontal="center" vertical="center" wrapText="1"/>
    </xf>
    <xf numFmtId="0" fontId="7" fillId="0" borderId="1" xfId="0" applyFont="1" applyBorder="1" applyAlignment="1">
      <alignment horizontal="center" vertical="top" wrapText="1"/>
    </xf>
    <xf numFmtId="178" fontId="6" fillId="0" borderId="1" xfId="0" applyNumberFormat="1" applyFont="1" applyBorder="1" applyAlignment="1">
      <alignment horizontal="center" vertical="top" wrapText="1"/>
    </xf>
    <xf numFmtId="0" fontId="0" fillId="0" borderId="0" xfId="0" applyFont="1"/>
    <xf numFmtId="0" fontId="8" fillId="0" borderId="1" xfId="0" applyFont="1" applyBorder="1" applyAlignment="1">
      <alignment horizontal="center" vertical="center" wrapText="1"/>
    </xf>
    <xf numFmtId="0" fontId="5" fillId="0" borderId="1" xfId="0" applyFont="1" applyBorder="1" applyAlignment="1">
      <alignment vertical="top" wrapText="1"/>
    </xf>
    <xf numFmtId="0" fontId="6" fillId="0" borderId="1" xfId="0" applyFont="1" applyBorder="1"/>
    <xf numFmtId="180" fontId="10" fillId="0" borderId="1" xfId="0" applyNumberFormat="1" applyFont="1" applyBorder="1"/>
    <xf numFmtId="0" fontId="5" fillId="0" borderId="0" xfId="0" applyFont="1"/>
    <xf numFmtId="9" fontId="10" fillId="0" borderId="0" xfId="0" applyNumberFormat="1" applyFont="1"/>
    <xf numFmtId="180" fontId="6" fillId="0" borderId="0" xfId="0" applyNumberFormat="1" applyFont="1"/>
    <xf numFmtId="0" fontId="9" fillId="0" borderId="0" xfId="0" applyFont="1"/>
    <xf numFmtId="0" fontId="5" fillId="5" borderId="1" xfId="0" applyFont="1" applyFill="1" applyBorder="1" applyAlignment="1">
      <alignment vertical="top" wrapText="1"/>
    </xf>
    <xf numFmtId="178" fontId="6" fillId="0" borderId="1" xfId="0" applyNumberFormat="1" applyFont="1" applyBorder="1" applyAlignment="1">
      <alignment horizontal="left" vertical="top"/>
    </xf>
    <xf numFmtId="0" fontId="7"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name val="Arial"/>
        <scheme val="none"/>
        <b val="1"/>
        <color rgb="FF006100"/>
      </font>
      <fill>
        <patternFill patternType="solid">
          <fgColor rgb="FFC6EFCE"/>
          <bgColor rgb="FFC6EFCE"/>
        </patternFill>
      </fill>
    </dxf>
    <dxf>
      <font>
        <name val="Arial"/>
        <scheme val="none"/>
        <b val="1"/>
        <color rgb="FF9C0006"/>
      </font>
      <fill>
        <patternFill patternType="solid">
          <fgColor rgb="FFFFC7CE"/>
          <bgColor rgb="FFFFC7CE"/>
        </patternFill>
      </fill>
    </dxf>
    <dxf>
      <font>
        <name val="Arial"/>
        <scheme val="none"/>
        <b val="1"/>
        <color rgb="FFFFFFFF"/>
      </font>
      <fill>
        <patternFill patternType="solid">
          <fgColor rgb="FFC00000"/>
          <bgColor rgb="FFC00000"/>
        </patternFill>
      </fill>
    </dxf>
    <dxf>
      <font>
        <name val="Arial"/>
        <scheme val="none"/>
        <b val="1"/>
        <color rgb="FF7F3F00"/>
      </font>
      <fill>
        <patternFill patternType="solid">
          <fgColor rgb="FFF4B183"/>
          <bgColor rgb="FFF4B183"/>
        </patternFill>
      </fill>
    </dxf>
    <dxf>
      <font>
        <name val="Arial"/>
        <scheme val="none"/>
        <b val="1"/>
        <color rgb="FF7F6000"/>
      </font>
      <fill>
        <patternFill patternType="solid">
          <fgColor rgb="FFFFE699"/>
          <bgColor rgb="FFFFE699"/>
        </patternFill>
      </fill>
    </dxf>
    <dxf>
      <font>
        <name val="Arial"/>
        <scheme val="none"/>
        <b val="1"/>
        <color rgb="FF9C5700"/>
      </font>
      <fill>
        <patternFill patternType="solid">
          <fgColor rgb="FFFFEB9C"/>
          <bgColor rgb="FFFFEB9C"/>
        </patternFill>
      </fill>
    </dxf>
    <dxf>
      <font>
        <name val="Arial"/>
        <scheme val="none"/>
        <b val="1"/>
        <color rgb="FF006100"/>
      </font>
      <fill>
        <patternFill patternType="none"/>
      </fill>
    </dxf>
    <dxf>
      <font>
        <name val="Arial"/>
        <scheme val="none"/>
        <b val="1"/>
        <color rgb="FF9C0006"/>
      </font>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Calibri" panose="020F0502020204030204"/>
                <a:ea typeface="+mn-ea"/>
                <a:cs typeface="+mn-cs"/>
              </a:defRPr>
            </a:pPr>
            <a:r>
              <a:rPr sz="1800" b="1" i="0">
                <a:solidFill>
                  <a:srgbClr val="000000"/>
                </a:solidFill>
                <a:latin typeface="Calibri" panose="020F0502020204030204"/>
              </a:rPr>
              <a:t>Test Execution Result</a:t>
            </a:r>
            <a:endParaRPr sz="1800" b="1" i="0">
              <a:solidFill>
                <a:srgbClr val="000000"/>
              </a:solidFill>
              <a:latin typeface="Calibri" panose="020F0502020204030204"/>
            </a:endParaRPr>
          </a:p>
        </c:rich>
      </c:tx>
      <c:layout/>
      <c:overlay val="0"/>
    </c:title>
    <c:autoTitleDeleted val="0"/>
    <c:plotArea>
      <c:layout/>
      <c:pieChart>
        <c:varyColors val="1"/>
        <c:ser>
          <c:idx val="0"/>
          <c:order val="0"/>
          <c:explosion val="0"/>
          <c:dPt>
            <c:idx val="0"/>
            <c:bubble3D val="0"/>
            <c:spPr>
              <a:solidFill>
                <a:srgbClr val="2E7D32"/>
              </a:solidFill>
            </c:spPr>
          </c:dPt>
          <c:dPt>
            <c:idx val="1"/>
            <c:bubble3D val="0"/>
            <c:spPr>
              <a:solidFill>
                <a:srgbClr val="C62828"/>
              </a:solidFill>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mn-ea"/>
                      <a:cs typeface="+mn-cs"/>
                    </a:defRPr>
                  </a:pPr>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line">
                      <a:avLst/>
                    </a:prstGeom>
                    <a:noFill/>
                    <a:ln>
                      <a:noFill/>
                    </a:ln>
                  </c15:spPr>
                </c:ext>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mn-ea"/>
                      <a:cs typeface="+mn-cs"/>
                    </a:defRPr>
                  </a:pPr>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line">
                      <a:avLst/>
                    </a:prstGeom>
                    <a:noFill/>
                    <a:ln>
                      <a:noFill/>
                    </a:ln>
                  </c15:spPr>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ext>
            </c:extLst>
          </c:dLbls>
          <c:cat>
            <c:strRef>
              <c:f>Summary!$A$14:$A$15</c:f>
              <c:strCache>
                <c:ptCount val="2"/>
                <c:pt idx="0">
                  <c:v>Passed</c:v>
                </c:pt>
                <c:pt idx="1">
                  <c:v>Failed</c:v>
                </c:pt>
              </c:strCache>
            </c:strRef>
          </c:cat>
          <c:val>
            <c:numRef>
              <c:f>Summary!$B$14:$B$15</c:f>
              <c:numCache>
                <c:formatCode>General</c:formatCode>
                <c:ptCount val="2"/>
                <c:pt idx="0">
                  <c:v>26</c:v>
                </c:pt>
                <c:pt idx="1">
                  <c:v>2</c:v>
                </c:pt>
              </c:numCache>
            </c:numRef>
          </c:val>
        </c:ser>
        <c:dLbls>
          <c:showLegendKey val="0"/>
          <c:showVal val="0"/>
          <c:showCatName val="0"/>
          <c:showSerName val="0"/>
          <c:showPercent val="0"/>
          <c:showBubbleSize val="0"/>
          <c:showLeaderLines val="1"/>
        </c:dLbls>
        <c:firstSliceAng val="0"/>
      </c:pieChart>
    </c:plotArea>
    <c:legend>
      <c:legendPos val="r"/>
      <c:layout/>
      <c:overlay val="0"/>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0fe428ff-8734-4603-ba08-3d92939650db}"/>
      </c:ext>
    </c:extLst>
  </c:chart>
  <c:spPr>
    <a:solidFill>
      <a:srgbClr val="FFFFFF"/>
    </a:solidFill>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Calibri" panose="020F0502020204030204"/>
                <a:ea typeface="+mn-ea"/>
                <a:cs typeface="+mn-cs"/>
              </a:defRPr>
            </a:pPr>
            <a:r>
              <a:rPr sz="1800" b="1" i="0">
                <a:solidFill>
                  <a:srgbClr val="000000"/>
                </a:solidFill>
                <a:latin typeface="Calibri" panose="020F0502020204030204"/>
              </a:rPr>
              <a:t>Module-wise Pass / Fail</a:t>
            </a:r>
            <a:endParaRPr sz="1800" b="1" i="0">
              <a:solidFill>
                <a:srgbClr val="000000"/>
              </a:solidFill>
              <a:latin typeface="Calibri" panose="020F0502020204030204"/>
            </a:endParaRPr>
          </a:p>
        </c:rich>
      </c:tx>
      <c:layout/>
      <c:overlay val="0"/>
    </c:title>
    <c:autoTitleDeleted val="0"/>
    <c:plotArea>
      <c:layout/>
      <c:barChart>
        <c:barDir val="col"/>
        <c:grouping val="stacked"/>
        <c:varyColors val="0"/>
        <c:ser>
          <c:idx val="0"/>
          <c:order val="0"/>
          <c:tx>
            <c:strRef>
              <c:f>"Passed"</c:f>
              <c:strCache>
                <c:ptCount val="1"/>
                <c:pt idx="0">
                  <c:v>Passed</c:v>
                </c:pt>
              </c:strCache>
            </c:strRef>
          </c:tx>
          <c:spPr>
            <a:solidFill>
              <a:srgbClr val="2E7D32"/>
            </a:solidFill>
            <a:ln cmpd="sng">
              <a:noFill/>
            </a:ln>
          </c:spPr>
          <c:invertIfNegative val="0"/>
          <c:dLbls>
            <c:delete val="1"/>
          </c:dLbls>
          <c:cat>
            <c:strRef>
              <c:f>Summary!$A$23:$A$26</c:f>
              <c:strCache>
                <c:ptCount val="4"/>
                <c:pt idx="0">
                  <c:v>Login</c:v>
                </c:pt>
                <c:pt idx="1">
                  <c:v>Product Listing / Sort</c:v>
                </c:pt>
                <c:pt idx="2">
                  <c:v>Cart</c:v>
                </c:pt>
                <c:pt idx="3">
                  <c:v>Checkout</c:v>
                </c:pt>
              </c:strCache>
            </c:strRef>
          </c:cat>
          <c:val>
            <c:numRef>
              <c:f>Summary!$C$23:$C$26</c:f>
              <c:numCache>
                <c:formatCode>General</c:formatCode>
                <c:ptCount val="4"/>
                <c:pt idx="0">
                  <c:v>8</c:v>
                </c:pt>
                <c:pt idx="1">
                  <c:v>5</c:v>
                </c:pt>
                <c:pt idx="2">
                  <c:v>5</c:v>
                </c:pt>
                <c:pt idx="3">
                  <c:v>8</c:v>
                </c:pt>
              </c:numCache>
            </c:numRef>
          </c:val>
        </c:ser>
        <c:ser>
          <c:idx val="1"/>
          <c:order val="1"/>
          <c:tx>
            <c:strRef>
              <c:f>"Failed"</c:f>
              <c:strCache>
                <c:ptCount val="1"/>
                <c:pt idx="0">
                  <c:v>Failed</c:v>
                </c:pt>
              </c:strCache>
            </c:strRef>
          </c:tx>
          <c:spPr>
            <a:solidFill>
              <a:srgbClr val="C62828"/>
            </a:solidFill>
            <a:ln cmpd="sng">
              <a:noFill/>
            </a:ln>
          </c:spPr>
          <c:invertIfNegative val="0"/>
          <c:dLbls>
            <c:delete val="1"/>
          </c:dLbls>
          <c:cat>
            <c:strRef>
              <c:f>Summary!$A$23:$A$26</c:f>
              <c:strCache>
                <c:ptCount val="4"/>
                <c:pt idx="0">
                  <c:v>Login</c:v>
                </c:pt>
                <c:pt idx="1">
                  <c:v>Product Listing / Sort</c:v>
                </c:pt>
                <c:pt idx="2">
                  <c:v>Cart</c:v>
                </c:pt>
                <c:pt idx="3">
                  <c:v>Checkout</c:v>
                </c:pt>
              </c:strCache>
            </c:strRef>
          </c:cat>
          <c:val>
            <c:numRef>
              <c:f>Summary!$D$23:$D$26</c:f>
              <c:numCache>
                <c:formatCode>General</c:formatCode>
                <c:ptCount val="4"/>
                <c:pt idx="0">
                  <c:v>0</c:v>
                </c:pt>
                <c:pt idx="1">
                  <c:v>0</c:v>
                </c:pt>
                <c:pt idx="2">
                  <c:v>1</c:v>
                </c:pt>
                <c:pt idx="3">
                  <c:v>1</c:v>
                </c:pt>
              </c:numCache>
            </c:numRef>
          </c:val>
        </c:ser>
        <c:dLbls>
          <c:showLegendKey val="0"/>
          <c:showVal val="0"/>
          <c:showCatName val="0"/>
          <c:showSerName val="0"/>
          <c:showPercent val="0"/>
          <c:showBubbleSize val="0"/>
        </c:dLbls>
        <c:gapWidth val="150"/>
        <c:overlap val="100"/>
        <c:axId val="886407385"/>
        <c:axId val="1552123132"/>
      </c:barChart>
      <c:catAx>
        <c:axId val="886407385"/>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Calibri" panose="020F0502020204030204"/>
                <a:ea typeface="+mn-ea"/>
                <a:cs typeface="+mn-cs"/>
              </a:defRPr>
            </a:pPr>
          </a:p>
        </c:txPr>
        <c:crossAx val="1552123132"/>
        <c:crosses val="autoZero"/>
        <c:auto val="1"/>
        <c:lblAlgn val="ctr"/>
        <c:lblOffset val="100"/>
        <c:noMultiLvlLbl val="0"/>
      </c:catAx>
      <c:valAx>
        <c:axId val="1552123132"/>
        <c:scaling>
          <c:orientation val="minMax"/>
        </c:scaling>
        <c:delete val="0"/>
        <c:axPos val="l"/>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Calibri" panose="020F0502020204030204"/>
                <a:ea typeface="+mn-ea"/>
                <a:cs typeface="+mn-cs"/>
              </a:defRPr>
            </a:pPr>
          </a:p>
        </c:txPr>
        <c:crossAx val="886407385"/>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d9f59721-c7ed-4c24-8179-862bf953af91}"/>
      </c:ext>
    </c:extLst>
  </c:chart>
  <c:spPr>
    <a:solidFill>
      <a:srgbClr val="FFFFFF"/>
    </a:solidFill>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Calibri" panose="020F0502020204030204"/>
                <a:ea typeface="+mn-ea"/>
                <a:cs typeface="+mn-cs"/>
              </a:defRPr>
            </a:pPr>
            <a:r>
              <a:rPr sz="1800" b="1" i="0">
                <a:solidFill>
                  <a:srgbClr val="000000"/>
                </a:solidFill>
                <a:latin typeface="Calibri" panose="020F0502020204030204"/>
              </a:rPr>
              <a:t>Bugs by Severity</a:t>
            </a:r>
            <a:endParaRPr sz="1800" b="1" i="0">
              <a:solidFill>
                <a:srgbClr val="000000"/>
              </a:solidFill>
              <a:latin typeface="Calibri" panose="020F0502020204030204"/>
            </a:endParaRPr>
          </a:p>
        </c:rich>
      </c:tx>
      <c:layout/>
      <c:overlay val="0"/>
    </c:title>
    <c:autoTitleDeleted val="0"/>
    <c:plotArea>
      <c:layout/>
      <c:barChart>
        <c:barDir val="col"/>
        <c:grouping val="none"/>
        <c:varyColors val="0"/>
        <c:ser>
          <c:idx val="0"/>
          <c:order val="0"/>
          <c:tx>
            <c:strRef>
              <c:f>"Count"</c:f>
              <c:strCache>
                <c:ptCount val="1"/>
                <c:pt idx="0">
                  <c:v>Count</c:v>
                </c:pt>
              </c:strCache>
            </c:strRef>
          </c:tx>
          <c:spPr>
            <a:solidFill>
              <a:srgbClr val="2E75B6"/>
            </a:solidFill>
            <a:ln cmpd="sng">
              <a:noFill/>
            </a:ln>
          </c:spPr>
          <c:invertIfNegative val="0"/>
          <c:dLbls>
            <c:delete val="1"/>
          </c:dLbls>
          <c:cat>
            <c:strRef>
              <c:f>Summary!$A$32:$A$35</c:f>
              <c:strCache>
                <c:ptCount val="4"/>
                <c:pt idx="0">
                  <c:v>Critical</c:v>
                </c:pt>
                <c:pt idx="1">
                  <c:v>High</c:v>
                </c:pt>
                <c:pt idx="2">
                  <c:v>Medium</c:v>
                </c:pt>
                <c:pt idx="3">
                  <c:v>Low</c:v>
                </c:pt>
              </c:strCache>
            </c:strRef>
          </c:cat>
          <c:val>
            <c:numRef>
              <c:f>Summary!$B$32:$B$35</c:f>
              <c:numCache>
                <c:formatCode>General</c:formatCode>
                <c:ptCount val="4"/>
                <c:pt idx="0">
                  <c:v>1</c:v>
                </c:pt>
                <c:pt idx="1">
                  <c:v>1</c:v>
                </c:pt>
                <c:pt idx="2">
                  <c:v>4</c:v>
                </c:pt>
                <c:pt idx="3">
                  <c:v>0</c:v>
                </c:pt>
              </c:numCache>
            </c:numRef>
          </c:val>
        </c:ser>
        <c:dLbls>
          <c:showLegendKey val="0"/>
          <c:showVal val="0"/>
          <c:showCatName val="0"/>
          <c:showSerName val="0"/>
          <c:showPercent val="0"/>
          <c:showBubbleSize val="0"/>
        </c:dLbls>
        <c:gapWidth val="150"/>
        <c:axId val="280849816"/>
        <c:axId val="561319606"/>
      </c:barChart>
      <c:catAx>
        <c:axId val="280849816"/>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Calibri" panose="020F0502020204030204"/>
                <a:ea typeface="+mn-ea"/>
                <a:cs typeface="+mn-cs"/>
              </a:defRPr>
            </a:pPr>
          </a:p>
        </c:txPr>
        <c:crossAx val="561319606"/>
        <c:crosses val="autoZero"/>
        <c:auto val="1"/>
        <c:lblAlgn val="ctr"/>
        <c:lblOffset val="100"/>
        <c:noMultiLvlLbl val="0"/>
      </c:catAx>
      <c:valAx>
        <c:axId val="561319606"/>
        <c:scaling>
          <c:orientation val="minMax"/>
        </c:scaling>
        <c:delete val="0"/>
        <c:axPos val="l"/>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Calibri" panose="020F0502020204030204"/>
                <a:ea typeface="+mn-ea"/>
                <a:cs typeface="+mn-cs"/>
              </a:defRPr>
            </a:pPr>
          </a:p>
        </c:txPr>
        <c:crossAx val="280849816"/>
        <c:crosses val="autoZero"/>
        <c:crossBetween val="between"/>
      </c:valAx>
    </c:plotArea>
    <c:plotVisOnly val="1"/>
    <c:dispBlanksAs val="gap"/>
    <c:showDLblsOverMax val="0"/>
    <c:extLst>
      <c:ext uri="{0b15fc19-7d7d-44ad-8c2d-2c3a37ce22c3}">
        <chartProps xmlns="https://web.wps.cn/et/2018/main" chartId="{77d6729c-d205-438b-9238-06e29692268b}"/>
      </c:ext>
    </c:extLst>
  </c:chart>
  <c:spPr>
    <a:solidFill>
      <a:srgbClr val="FFFFFF"/>
    </a:solidFill>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3</xdr:row>
      <xdr:rowOff>0</xdr:rowOff>
    </xdr:from>
    <xdr:ext cx="3771900" cy="2609850"/>
    <xdr:graphicFrame>
      <xdr:nvGraphicFramePr>
        <xdr:cNvPr id="2" name="Chart 1"/>
        <xdr:cNvGraphicFramePr/>
      </xdr:nvGraphicFramePr>
      <xdr:xfrm>
        <a:off x="6334125" y="866775"/>
        <a:ext cx="3771900" cy="26098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0</xdr:colOff>
      <xdr:row>18</xdr:row>
      <xdr:rowOff>0</xdr:rowOff>
    </xdr:from>
    <xdr:ext cx="3771900" cy="2609850"/>
    <xdr:graphicFrame>
      <xdr:nvGraphicFramePr>
        <xdr:cNvPr id="3" name="Chart 2"/>
        <xdr:cNvGraphicFramePr/>
      </xdr:nvGraphicFramePr>
      <xdr:xfrm>
        <a:off x="6334125" y="3895725"/>
        <a:ext cx="3771900" cy="260985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0</xdr:colOff>
      <xdr:row>33</xdr:row>
      <xdr:rowOff>0</xdr:rowOff>
    </xdr:from>
    <xdr:ext cx="3771900" cy="2638425"/>
    <xdr:graphicFrame>
      <xdr:nvGraphicFramePr>
        <xdr:cNvPr id="4" name="Chart 3"/>
        <xdr:cNvGraphicFramePr/>
      </xdr:nvGraphicFramePr>
      <xdr:xfrm>
        <a:off x="6334125" y="7029450"/>
        <a:ext cx="3771900" cy="2638425"/>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vidence" TargetMode="External"/></Relationships>
</file>

<file path=xl/externalLinks/externalLink1.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ithub.com/Anushas-hub/manual-testing-portfolio/tree/main/saucedemo-test-cases" TargetMode="External"/><Relationship Id="rId1"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6" Type="http://schemas.openxmlformats.org/officeDocument/2006/relationships/hyperlink" Target="https://drive.google.com/file/d/1PRKH0eubCe8P8OT-sHwrXEDluufLrKyY/view?usp=sharing" TargetMode="External"/><Relationship Id="rId5" Type="http://schemas.openxmlformats.org/officeDocument/2006/relationships/hyperlink" Target="https://drive.google.com/file/d/1atBKpPaQvHCYla7HdIpFNQki8xheAheq/view?usp=sharing" TargetMode="External"/><Relationship Id="rId4" Type="http://schemas.openxmlformats.org/officeDocument/2006/relationships/hyperlink" Target="https://drive.google.com/file/d/1OWuh4ZrPiVSxojGcIKzzKT1BSQ4tfs5e/view?usp=sharing" TargetMode="External"/><Relationship Id="rId3" Type="http://schemas.openxmlformats.org/officeDocument/2006/relationships/hyperlink" Target="https://drive.google.com/file/d/1PziWxUbrKFOrJNGspArrsKuI0VyVAMjY/view?usp=sharing" TargetMode="External"/><Relationship Id="rId2" Type="http://schemas.openxmlformats.org/officeDocument/2006/relationships/hyperlink" Target="https://drive.google.com/file/d/1tzp31HbrZZzp1VtO7UbPZ6s6nhT_nC-S/view?usp=sharing" TargetMode="External"/><Relationship Id="rId1" Type="http://schemas.openxmlformats.org/officeDocument/2006/relationships/hyperlink" Target="https://drive.google.com/file/d/1G6p1XOW4TEcc5WN5ZPdDh6UZ5wWlClpv/view?usp=sharing"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github.com/Anushas-hub/manual-testing-portfolio/tree/main/saucedemo-test-cases"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pageSetUpPr fitToPage="1"/>
  </sheetPr>
  <dimension ref="A1:B1000"/>
  <sheetViews>
    <sheetView showGridLines="0" topLeftCell="A42" workbookViewId="0">
      <selection activeCell="A1" sqref="A1:B1"/>
    </sheetView>
  </sheetViews>
  <sheetFormatPr defaultColWidth="14.4285714285714" defaultRowHeight="15" customHeight="1" outlineLevelCol="1"/>
  <cols>
    <col min="1" max="1" width="28" customWidth="1"/>
    <col min="2" max="2" width="110" customWidth="1"/>
    <col min="3" max="26" width="8.71428571428571" customWidth="1"/>
  </cols>
  <sheetData>
    <row r="1" ht="33.75" customHeight="1" spans="1:2">
      <c r="A1" s="1" t="s">
        <v>0</v>
      </c>
      <c r="B1" s="2"/>
    </row>
    <row r="2" ht="19.5" customHeight="1" spans="1:2">
      <c r="A2" s="3" t="s">
        <v>1</v>
      </c>
      <c r="B2" s="2"/>
    </row>
    <row r="4" ht="21.75" customHeight="1" spans="1:2">
      <c r="A4" s="4" t="s">
        <v>2</v>
      </c>
      <c r="B4" s="2"/>
    </row>
    <row r="5" spans="1:2">
      <c r="A5" s="39" t="s">
        <v>3</v>
      </c>
      <c r="B5" s="24" t="s">
        <v>4</v>
      </c>
    </row>
    <row r="6" spans="1:2">
      <c r="A6" s="39" t="s">
        <v>5</v>
      </c>
      <c r="B6" s="24" t="s">
        <v>6</v>
      </c>
    </row>
    <row r="7" spans="1:2">
      <c r="A7" s="39" t="s">
        <v>7</v>
      </c>
      <c r="B7" s="40">
        <v>46293</v>
      </c>
    </row>
    <row r="8" spans="1:2">
      <c r="A8" s="39" t="s">
        <v>8</v>
      </c>
      <c r="B8" s="24" t="s">
        <v>9</v>
      </c>
    </row>
    <row r="9" spans="1:2">
      <c r="A9" s="39" t="s">
        <v>10</v>
      </c>
      <c r="B9" s="24" t="s">
        <v>11</v>
      </c>
    </row>
    <row r="11" ht="21.75" customHeight="1" spans="1:2">
      <c r="A11" s="4" t="s">
        <v>12</v>
      </c>
      <c r="B11" s="2"/>
    </row>
    <row r="12" ht="25.5" spans="1:2">
      <c r="A12" s="39" t="s">
        <v>13</v>
      </c>
      <c r="B12" s="24" t="s">
        <v>14</v>
      </c>
    </row>
    <row r="14" ht="21.75" customHeight="1" spans="1:2">
      <c r="A14" s="4" t="s">
        <v>15</v>
      </c>
      <c r="B14" s="2"/>
    </row>
    <row r="15" ht="63.75" spans="1:2">
      <c r="A15" s="39" t="s">
        <v>16</v>
      </c>
      <c r="B15" s="24" t="s">
        <v>17</v>
      </c>
    </row>
    <row r="16" ht="63.75" spans="1:2">
      <c r="A16" s="39" t="s">
        <v>18</v>
      </c>
      <c r="B16" s="24" t="s">
        <v>19</v>
      </c>
    </row>
    <row r="18" ht="21.75" customHeight="1" spans="1:2">
      <c r="A18" s="4" t="s">
        <v>20</v>
      </c>
      <c r="B18" s="2"/>
    </row>
    <row r="19" spans="1:2">
      <c r="A19" s="39" t="s">
        <v>21</v>
      </c>
      <c r="B19" s="24" t="s">
        <v>22</v>
      </c>
    </row>
    <row r="20" spans="1:2">
      <c r="A20" s="39" t="s">
        <v>23</v>
      </c>
      <c r="B20" s="24" t="s">
        <v>24</v>
      </c>
    </row>
    <row r="21" ht="15.75" customHeight="1" spans="1:2">
      <c r="A21" s="39" t="s">
        <v>25</v>
      </c>
      <c r="B21" s="24" t="s">
        <v>26</v>
      </c>
    </row>
    <row r="22" ht="15.75" customHeight="1"/>
    <row r="23" ht="21.75" customHeight="1" spans="1:2">
      <c r="A23" s="4" t="s">
        <v>27</v>
      </c>
      <c r="B23" s="2"/>
    </row>
    <row r="24" ht="15.75" customHeight="1" spans="1:2">
      <c r="A24" s="39" t="s">
        <v>28</v>
      </c>
      <c r="B24" s="41" t="s">
        <v>29</v>
      </c>
    </row>
    <row r="25" ht="15.75" customHeight="1" spans="1:2">
      <c r="A25" s="39" t="s">
        <v>30</v>
      </c>
      <c r="B25" s="24" t="s">
        <v>31</v>
      </c>
    </row>
    <row r="26" ht="15.75" customHeight="1" spans="1:2">
      <c r="A26" s="39" t="s">
        <v>32</v>
      </c>
      <c r="B26" s="24" t="s">
        <v>33</v>
      </c>
    </row>
    <row r="27" ht="15.75" customHeight="1"/>
    <row r="28" ht="21.75" customHeight="1" spans="1:2">
      <c r="A28" s="4" t="s">
        <v>34</v>
      </c>
      <c r="B28" s="2"/>
    </row>
    <row r="29" ht="15.75" customHeight="1" spans="1:2">
      <c r="A29" s="39" t="s">
        <v>35</v>
      </c>
      <c r="B29" s="24" t="s">
        <v>36</v>
      </c>
    </row>
    <row r="30" ht="15.75" customHeight="1" spans="1:2">
      <c r="A30" s="39" t="s">
        <v>37</v>
      </c>
      <c r="B30" s="24" t="s">
        <v>38</v>
      </c>
    </row>
    <row r="31" ht="15.75" customHeight="1"/>
    <row r="32" ht="21.75" customHeight="1" spans="1:2">
      <c r="A32" s="4" t="s">
        <v>39</v>
      </c>
      <c r="B32" s="2"/>
    </row>
    <row r="33" ht="15.75" customHeight="1" spans="1:2">
      <c r="A33" s="39" t="s">
        <v>40</v>
      </c>
      <c r="B33" s="24" t="s">
        <v>41</v>
      </c>
    </row>
    <row r="34" ht="15.75" customHeight="1" spans="1:2">
      <c r="A34" s="39" t="s">
        <v>42</v>
      </c>
      <c r="B34" s="24" t="s">
        <v>43</v>
      </c>
    </row>
    <row r="35" ht="15.75" customHeight="1" spans="1:2">
      <c r="A35" s="39" t="s">
        <v>44</v>
      </c>
      <c r="B35" s="24" t="s">
        <v>45</v>
      </c>
    </row>
    <row r="36" ht="15.75" customHeight="1" spans="1:2">
      <c r="A36" s="39" t="s">
        <v>46</v>
      </c>
      <c r="B36" s="24" t="s">
        <v>47</v>
      </c>
    </row>
    <row r="37" ht="15.75" customHeight="1" spans="1:2">
      <c r="A37" s="39" t="s">
        <v>48</v>
      </c>
      <c r="B37" s="24" t="s">
        <v>49</v>
      </c>
    </row>
    <row r="38" ht="15.75" customHeight="1" spans="1:2">
      <c r="A38" s="39" t="s">
        <v>50</v>
      </c>
      <c r="B38" s="24" t="s">
        <v>51</v>
      </c>
    </row>
    <row r="39" ht="15.75" customHeight="1" spans="1:2">
      <c r="A39" s="39" t="s">
        <v>52</v>
      </c>
      <c r="B39" s="24" t="s">
        <v>53</v>
      </c>
    </row>
    <row r="40" ht="15.75" customHeight="1"/>
    <row r="41" ht="21.75" customHeight="1" spans="1:2">
      <c r="A41" s="4" t="s">
        <v>54</v>
      </c>
      <c r="B41" s="2"/>
    </row>
    <row r="42" ht="15.75" customHeight="1" spans="1:2">
      <c r="A42" s="39" t="s">
        <v>55</v>
      </c>
      <c r="B42" s="24" t="s">
        <v>56</v>
      </c>
    </row>
    <row r="43" ht="15.75" customHeight="1" spans="1:2">
      <c r="A43" s="39" t="s">
        <v>57</v>
      </c>
      <c r="B43" s="24" t="s">
        <v>58</v>
      </c>
    </row>
    <row r="44" ht="15.75" customHeight="1" spans="1:2">
      <c r="A44" s="39" t="s">
        <v>59</v>
      </c>
      <c r="B44" s="41" t="s">
        <v>60</v>
      </c>
    </row>
    <row r="45" ht="15.75" customHeight="1"/>
    <row r="46" ht="21.75" customHeight="1" spans="1:2">
      <c r="A46" s="4" t="s">
        <v>61</v>
      </c>
      <c r="B46" s="2"/>
    </row>
    <row r="47" ht="15.75" customHeight="1" spans="1:2">
      <c r="A47" s="39" t="s">
        <v>62</v>
      </c>
      <c r="B47" s="24" t="s">
        <v>63</v>
      </c>
    </row>
    <row r="48" ht="15.75" customHeight="1" spans="1:2">
      <c r="A48" s="39" t="s">
        <v>64</v>
      </c>
      <c r="B48" s="24" t="s">
        <v>65</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B1"/>
    <mergeCell ref="A2:B2"/>
    <mergeCell ref="A4:B4"/>
    <mergeCell ref="A11:B11"/>
    <mergeCell ref="A14:B14"/>
    <mergeCell ref="A18:B18"/>
    <mergeCell ref="A23:B23"/>
    <mergeCell ref="A28:B28"/>
    <mergeCell ref="A32:B32"/>
    <mergeCell ref="A41:B41"/>
    <mergeCell ref="A46:B46"/>
  </mergeCells>
  <hyperlinks>
    <hyperlink ref="B24" r:id="rId1" display="https://www.saucedemo.com"/>
    <hyperlink ref="B44" r:id="rId2" display="https://github.com/Anushas-hub/manual-testing-portfolio/tree/main/saucedemo-test-cases"/>
  </hyperlinks>
  <pageMargins left="0.75" right="0.75" top="1" bottom="1" header="0" footer="0"/>
  <pageSetup paperSize="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pageSetUpPr fitToPage="1"/>
  </sheetPr>
  <dimension ref="A1:E1000"/>
  <sheetViews>
    <sheetView showGridLines="0" topLeftCell="A36" workbookViewId="0">
      <selection activeCell="A1" sqref="A1:E1"/>
    </sheetView>
  </sheetViews>
  <sheetFormatPr defaultColWidth="14.4285714285714" defaultRowHeight="15" customHeight="1" outlineLevelCol="4"/>
  <cols>
    <col min="1" max="1" width="24" customWidth="1"/>
    <col min="2" max="2" width="18" customWidth="1"/>
    <col min="3" max="3" width="50" customWidth="1"/>
    <col min="4" max="4" width="46" customWidth="1"/>
    <col min="5" max="5" width="30" customWidth="1"/>
    <col min="6" max="26" width="8.71428571428571" customWidth="1"/>
  </cols>
  <sheetData>
    <row r="1" ht="33.75" customHeight="1" spans="1:5">
      <c r="A1" s="1" t="s">
        <v>32</v>
      </c>
      <c r="B1" s="2"/>
      <c r="C1" s="2"/>
      <c r="D1" s="2"/>
      <c r="E1" s="2"/>
    </row>
    <row r="2" ht="19.5" customHeight="1" spans="1:5">
      <c r="A2" s="3" t="s">
        <v>66</v>
      </c>
      <c r="B2" s="2"/>
      <c r="C2" s="2"/>
      <c r="D2" s="2"/>
      <c r="E2" s="2"/>
    </row>
    <row r="4" ht="21.75" customHeight="1" spans="1:5">
      <c r="A4" s="4" t="s">
        <v>67</v>
      </c>
      <c r="B4" s="2"/>
      <c r="C4" s="2"/>
      <c r="D4" s="2"/>
      <c r="E4" s="2"/>
    </row>
    <row r="5" ht="30" customHeight="1" spans="1:5">
      <c r="A5" s="15" t="s">
        <v>68</v>
      </c>
      <c r="B5" s="15" t="s">
        <v>69</v>
      </c>
      <c r="C5" s="15" t="s">
        <v>70</v>
      </c>
      <c r="D5" s="15" t="s">
        <v>71</v>
      </c>
      <c r="E5" s="31"/>
    </row>
    <row r="6" ht="25.5" spans="1:5">
      <c r="A6" s="32" t="s">
        <v>72</v>
      </c>
      <c r="B6" s="24" t="s">
        <v>73</v>
      </c>
      <c r="C6" s="24" t="s">
        <v>74</v>
      </c>
      <c r="D6" s="24" t="s">
        <v>75</v>
      </c>
    </row>
    <row r="7" spans="1:5">
      <c r="A7" s="32" t="s">
        <v>76</v>
      </c>
      <c r="B7" s="24" t="s">
        <v>73</v>
      </c>
      <c r="C7" s="24" t="s">
        <v>77</v>
      </c>
      <c r="D7" s="24" t="s">
        <v>78</v>
      </c>
    </row>
    <row r="8" ht="25.5" spans="1:5">
      <c r="A8" s="32" t="s">
        <v>79</v>
      </c>
      <c r="B8" s="24" t="s">
        <v>73</v>
      </c>
      <c r="C8" s="24" t="s">
        <v>80</v>
      </c>
      <c r="D8" s="24" t="s">
        <v>81</v>
      </c>
    </row>
    <row r="9" spans="1:5">
      <c r="A9" s="32" t="s">
        <v>82</v>
      </c>
      <c r="B9" s="24" t="s">
        <v>73</v>
      </c>
      <c r="C9" s="24" t="s">
        <v>83</v>
      </c>
      <c r="D9" s="24" t="s">
        <v>84</v>
      </c>
    </row>
    <row r="10" spans="1:5">
      <c r="A10" s="32" t="s">
        <v>85</v>
      </c>
      <c r="B10" s="24" t="s">
        <v>73</v>
      </c>
      <c r="C10" s="24" t="s">
        <v>86</v>
      </c>
      <c r="D10" s="24" t="s">
        <v>84</v>
      </c>
    </row>
    <row r="11" spans="1:5">
      <c r="A11" s="32" t="s">
        <v>87</v>
      </c>
      <c r="B11" s="24" t="s">
        <v>73</v>
      </c>
      <c r="C11" s="24" t="s">
        <v>88</v>
      </c>
      <c r="D11" s="24" t="s">
        <v>84</v>
      </c>
    </row>
    <row r="13" ht="21.75" customHeight="1" spans="1:5">
      <c r="A13" s="4" t="s">
        <v>89</v>
      </c>
      <c r="B13" s="2"/>
      <c r="C13" s="2"/>
      <c r="D13" s="2"/>
      <c r="E13" s="2"/>
    </row>
    <row r="14" ht="30" customHeight="1" spans="1:5">
      <c r="A14" s="15" t="s">
        <v>90</v>
      </c>
      <c r="B14" s="15" t="s">
        <v>68</v>
      </c>
      <c r="C14" s="15" t="s">
        <v>69</v>
      </c>
      <c r="D14" s="15" t="s">
        <v>71</v>
      </c>
      <c r="E14" s="31"/>
    </row>
    <row r="15" spans="1:5">
      <c r="A15" s="32" t="s">
        <v>91</v>
      </c>
      <c r="B15" s="24" t="s">
        <v>92</v>
      </c>
      <c r="C15" s="24" t="s">
        <v>73</v>
      </c>
      <c r="D15" s="24" t="s">
        <v>93</v>
      </c>
    </row>
    <row r="16" spans="1:5">
      <c r="A16" s="32" t="s">
        <v>94</v>
      </c>
      <c r="B16" s="24" t="s">
        <v>72</v>
      </c>
      <c r="C16" s="24" t="s">
        <v>95</v>
      </c>
      <c r="D16" s="24" t="s">
        <v>96</v>
      </c>
    </row>
    <row r="17" spans="1:5">
      <c r="A17" s="32" t="s">
        <v>97</v>
      </c>
      <c r="B17" s="24" t="s">
        <v>98</v>
      </c>
      <c r="C17" s="24" t="s">
        <v>73</v>
      </c>
      <c r="D17" s="24" t="s">
        <v>99</v>
      </c>
    </row>
    <row r="18" spans="1:5">
      <c r="A18" s="32" t="s">
        <v>100</v>
      </c>
      <c r="B18" s="24" t="s">
        <v>72</v>
      </c>
      <c r="C18" s="24" t="s">
        <v>98</v>
      </c>
      <c r="D18" s="24" t="s">
        <v>101</v>
      </c>
    </row>
    <row r="19" spans="1:5">
      <c r="A19" s="32" t="s">
        <v>102</v>
      </c>
      <c r="B19" s="24" t="s">
        <v>98</v>
      </c>
      <c r="C19" s="24" t="s">
        <v>98</v>
      </c>
      <c r="D19" s="24" t="s">
        <v>103</v>
      </c>
    </row>
    <row r="21" ht="21.75" customHeight="1" spans="1:5">
      <c r="A21" s="4" t="s">
        <v>104</v>
      </c>
      <c r="B21" s="2"/>
      <c r="C21" s="2"/>
      <c r="D21" s="2"/>
      <c r="E21" s="2"/>
    </row>
    <row r="22" ht="30" customHeight="1" spans="1:5">
      <c r="A22" s="15" t="s">
        <v>90</v>
      </c>
      <c r="B22" s="15" t="s">
        <v>105</v>
      </c>
      <c r="C22" s="15" t="s">
        <v>106</v>
      </c>
      <c r="D22" s="15" t="s">
        <v>107</v>
      </c>
      <c r="E22" s="15" t="s">
        <v>71</v>
      </c>
    </row>
    <row r="23" ht="15.75" customHeight="1" spans="1:5">
      <c r="A23" s="32" t="s">
        <v>108</v>
      </c>
      <c r="B23" s="24" t="s">
        <v>109</v>
      </c>
      <c r="C23" s="24" t="s">
        <v>110</v>
      </c>
      <c r="D23" s="24" t="s">
        <v>111</v>
      </c>
      <c r="E23" s="24" t="s">
        <v>112</v>
      </c>
    </row>
    <row r="24" ht="15.75" customHeight="1" spans="1:5">
      <c r="A24" s="32" t="s">
        <v>113</v>
      </c>
      <c r="B24" s="24" t="s">
        <v>98</v>
      </c>
      <c r="C24" s="24" t="s">
        <v>110</v>
      </c>
      <c r="D24" s="24" t="s">
        <v>111</v>
      </c>
      <c r="E24" s="24" t="s">
        <v>114</v>
      </c>
    </row>
    <row r="25" ht="15.75" customHeight="1" spans="1:5">
      <c r="A25" s="32" t="s">
        <v>115</v>
      </c>
      <c r="B25" s="24" t="s">
        <v>109</v>
      </c>
      <c r="C25" s="24" t="s">
        <v>98</v>
      </c>
      <c r="D25" s="24" t="s">
        <v>111</v>
      </c>
      <c r="E25" s="24" t="s">
        <v>116</v>
      </c>
    </row>
    <row r="26" ht="15.75" customHeight="1" spans="1:5">
      <c r="A26" s="32" t="s">
        <v>117</v>
      </c>
      <c r="B26" s="24" t="s">
        <v>109</v>
      </c>
      <c r="C26" s="24" t="s">
        <v>110</v>
      </c>
      <c r="D26" s="24" t="s">
        <v>98</v>
      </c>
      <c r="E26" s="24" t="s">
        <v>118</v>
      </c>
    </row>
    <row r="27" ht="15.75" customHeight="1" spans="1:5">
      <c r="A27" s="32" t="s">
        <v>119</v>
      </c>
      <c r="B27" s="24" t="s">
        <v>98</v>
      </c>
      <c r="C27" s="24" t="s">
        <v>98</v>
      </c>
      <c r="D27" s="24" t="s">
        <v>98</v>
      </c>
      <c r="E27" s="24" t="s">
        <v>120</v>
      </c>
    </row>
    <row r="28" ht="15.75" customHeight="1" spans="1:5">
      <c r="A28" s="32" t="s">
        <v>121</v>
      </c>
      <c r="B28" s="24" t="s">
        <v>122</v>
      </c>
      <c r="C28" s="24" t="s">
        <v>110</v>
      </c>
      <c r="D28" s="24" t="s">
        <v>111</v>
      </c>
      <c r="E28" s="24" t="s">
        <v>123</v>
      </c>
    </row>
    <row r="29" ht="15.75" customHeight="1"/>
    <row r="30" ht="21.75" customHeight="1" spans="1:5">
      <c r="A30" s="4" t="s">
        <v>124</v>
      </c>
      <c r="B30" s="2"/>
      <c r="C30" s="2"/>
      <c r="D30" s="2"/>
      <c r="E30" s="2"/>
    </row>
    <row r="31" ht="30" customHeight="1" spans="1:5">
      <c r="A31" s="15" t="s">
        <v>125</v>
      </c>
      <c r="B31" s="15" t="s">
        <v>126</v>
      </c>
      <c r="C31" s="31"/>
      <c r="D31" s="31"/>
      <c r="E31" s="31"/>
    </row>
    <row r="32" ht="15.75" customHeight="1" spans="1:5">
      <c r="A32" s="33" t="s">
        <v>127</v>
      </c>
      <c r="B32" s="34">
        <v>29.99</v>
      </c>
    </row>
    <row r="33" ht="15.75" customHeight="1" spans="1:3">
      <c r="A33" s="33" t="s">
        <v>128</v>
      </c>
      <c r="B33" s="34">
        <v>9.99</v>
      </c>
    </row>
    <row r="34" ht="15.75" customHeight="1" spans="1:3">
      <c r="A34" s="33" t="s">
        <v>129</v>
      </c>
      <c r="B34" s="34">
        <v>15.99</v>
      </c>
    </row>
    <row r="35" ht="15.75" customHeight="1" spans="1:3">
      <c r="A35" s="33" t="s">
        <v>130</v>
      </c>
      <c r="B35" s="34">
        <v>49.99</v>
      </c>
    </row>
    <row r="36" ht="15.75" customHeight="1" spans="1:3">
      <c r="A36" s="33" t="s">
        <v>131</v>
      </c>
      <c r="B36" s="34">
        <v>7.99</v>
      </c>
    </row>
    <row r="37" ht="15.75" customHeight="1" spans="1:3">
      <c r="A37" s="33" t="s">
        <v>132</v>
      </c>
      <c r="B37" s="34">
        <v>15.99</v>
      </c>
    </row>
    <row r="38" ht="15.75" customHeight="1"/>
    <row r="39" ht="15.75" customHeight="1" spans="1:3">
      <c r="A39" s="35" t="s">
        <v>133</v>
      </c>
      <c r="B39" s="36">
        <v>0.08</v>
      </c>
    </row>
    <row r="40" ht="15.75" customHeight="1" spans="1:3">
      <c r="A40" s="35" t="s">
        <v>134</v>
      </c>
      <c r="B40" s="37">
        <f>ROUND(B32*B39,2)</f>
        <v>2.4</v>
      </c>
      <c r="C40" s="38" t="s">
        <v>135</v>
      </c>
    </row>
    <row r="41" ht="15.75" customHeight="1" spans="1:3">
      <c r="A41" s="35" t="s">
        <v>136</v>
      </c>
      <c r="B41" s="37">
        <f>B32+B40</f>
        <v>32.39</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2:E2"/>
    <mergeCell ref="A4:E4"/>
    <mergeCell ref="A13:E13"/>
    <mergeCell ref="A21:E21"/>
    <mergeCell ref="A30:E30"/>
  </mergeCells>
  <pageMargins left="0.75" right="0.75" top="1" bottom="1" header="0" footer="0"/>
  <pageSetup paperSize="1"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M1000"/>
  <sheetViews>
    <sheetView showGridLines="0" workbookViewId="0">
      <pane xSplit="2" ySplit="1" topLeftCell="F18" activePane="bottomRight" state="frozen"/>
      <selection/>
      <selection pane="topRight"/>
      <selection pane="bottomLeft"/>
      <selection pane="bottomRight" activeCell="C2" sqref="C2"/>
    </sheetView>
  </sheetViews>
  <sheetFormatPr defaultColWidth="14.4285714285714" defaultRowHeight="15" customHeight="1"/>
  <cols>
    <col min="1" max="1" width="11" customWidth="1"/>
    <col min="2" max="2" width="20" customWidth="1"/>
    <col min="3" max="3" width="34" customWidth="1"/>
    <col min="4" max="4" width="30" customWidth="1"/>
    <col min="5" max="5" width="44" customWidth="1"/>
    <col min="6" max="6" width="28" customWidth="1"/>
    <col min="7" max="8" width="44" customWidth="1"/>
    <col min="9" max="9" width="11" customWidth="1"/>
    <col min="10" max="13" width="10" customWidth="1"/>
    <col min="14" max="26" width="8.71428571428571" customWidth="1"/>
  </cols>
  <sheetData>
    <row r="1" ht="30" customHeight="1" spans="1:13">
      <c r="A1" s="15" t="s">
        <v>137</v>
      </c>
      <c r="B1" s="15" t="s">
        <v>138</v>
      </c>
      <c r="C1" s="15" t="s">
        <v>139</v>
      </c>
      <c r="D1" s="15" t="s">
        <v>140</v>
      </c>
      <c r="E1" s="15" t="s">
        <v>141</v>
      </c>
      <c r="F1" s="15" t="s">
        <v>32</v>
      </c>
      <c r="G1" s="15" t="s">
        <v>142</v>
      </c>
      <c r="H1" s="15" t="s">
        <v>143</v>
      </c>
      <c r="I1" s="15" t="s">
        <v>10</v>
      </c>
      <c r="J1" s="15" t="s">
        <v>144</v>
      </c>
      <c r="K1" s="15" t="s">
        <v>145</v>
      </c>
      <c r="L1" s="15" t="s">
        <v>146</v>
      </c>
      <c r="M1" s="15" t="s">
        <v>147</v>
      </c>
    </row>
    <row r="2" ht="38.25" spans="1:13">
      <c r="A2" s="23" t="s">
        <v>148</v>
      </c>
      <c r="B2" s="24" t="s">
        <v>149</v>
      </c>
      <c r="C2" s="24" t="s">
        <v>150</v>
      </c>
      <c r="D2" s="24" t="s">
        <v>151</v>
      </c>
      <c r="E2" s="24" t="s">
        <v>152</v>
      </c>
      <c r="F2" s="24" t="s">
        <v>153</v>
      </c>
      <c r="G2" s="24" t="s">
        <v>154</v>
      </c>
      <c r="H2" s="24" t="s">
        <v>154</v>
      </c>
      <c r="I2" s="25" t="s">
        <v>155</v>
      </c>
      <c r="J2" s="25" t="s">
        <v>156</v>
      </c>
      <c r="K2" s="25" t="s">
        <v>157</v>
      </c>
      <c r="L2" s="25" t="s">
        <v>158</v>
      </c>
      <c r="M2" s="25" t="s">
        <v>159</v>
      </c>
    </row>
    <row r="3" ht="38.25" spans="1:13">
      <c r="A3" s="23" t="s">
        <v>93</v>
      </c>
      <c r="B3" s="24" t="s">
        <v>149</v>
      </c>
      <c r="C3" s="24" t="s">
        <v>160</v>
      </c>
      <c r="D3" s="24" t="s">
        <v>161</v>
      </c>
      <c r="E3" s="24" t="s">
        <v>162</v>
      </c>
      <c r="F3" s="24" t="s">
        <v>163</v>
      </c>
      <c r="G3" s="24" t="s">
        <v>164</v>
      </c>
      <c r="H3" s="24" t="s">
        <v>164</v>
      </c>
      <c r="I3" s="25" t="s">
        <v>155</v>
      </c>
      <c r="J3" s="25" t="s">
        <v>156</v>
      </c>
      <c r="K3" s="25" t="s">
        <v>157</v>
      </c>
      <c r="L3" s="25" t="s">
        <v>165</v>
      </c>
      <c r="M3" s="25" t="s">
        <v>159</v>
      </c>
    </row>
    <row r="4" ht="38.25" spans="1:13">
      <c r="A4" s="23" t="s">
        <v>96</v>
      </c>
      <c r="B4" s="24" t="s">
        <v>149</v>
      </c>
      <c r="C4" s="24" t="s">
        <v>166</v>
      </c>
      <c r="D4" s="24" t="s">
        <v>161</v>
      </c>
      <c r="E4" s="24" t="s">
        <v>167</v>
      </c>
      <c r="F4" s="24" t="s">
        <v>168</v>
      </c>
      <c r="G4" s="24" t="s">
        <v>164</v>
      </c>
      <c r="H4" s="24" t="s">
        <v>164</v>
      </c>
      <c r="I4" s="25" t="s">
        <v>155</v>
      </c>
      <c r="J4" s="25" t="s">
        <v>156</v>
      </c>
      <c r="K4" s="25" t="s">
        <v>157</v>
      </c>
      <c r="L4" s="25" t="s">
        <v>165</v>
      </c>
      <c r="M4" s="25" t="s">
        <v>159</v>
      </c>
    </row>
    <row r="5" ht="38.25" spans="1:13">
      <c r="A5" s="23" t="s">
        <v>99</v>
      </c>
      <c r="B5" s="24" t="s">
        <v>149</v>
      </c>
      <c r="C5" s="24" t="s">
        <v>169</v>
      </c>
      <c r="D5" s="24" t="s">
        <v>161</v>
      </c>
      <c r="E5" s="24" t="s">
        <v>170</v>
      </c>
      <c r="F5" s="24" t="s">
        <v>171</v>
      </c>
      <c r="G5" s="24" t="s">
        <v>172</v>
      </c>
      <c r="H5" s="24" t="s">
        <v>172</v>
      </c>
      <c r="I5" s="25" t="s">
        <v>155</v>
      </c>
      <c r="J5" s="25" t="s">
        <v>173</v>
      </c>
      <c r="K5" s="25" t="s">
        <v>157</v>
      </c>
      <c r="L5" s="25" t="s">
        <v>174</v>
      </c>
      <c r="M5" s="25" t="s">
        <v>159</v>
      </c>
    </row>
    <row r="6" ht="38.25" spans="1:13">
      <c r="A6" s="23" t="s">
        <v>101</v>
      </c>
      <c r="B6" s="24" t="s">
        <v>149</v>
      </c>
      <c r="C6" s="24" t="s">
        <v>175</v>
      </c>
      <c r="D6" s="24" t="s">
        <v>161</v>
      </c>
      <c r="E6" s="24" t="s">
        <v>176</v>
      </c>
      <c r="F6" s="24" t="s">
        <v>177</v>
      </c>
      <c r="G6" s="24" t="s">
        <v>178</v>
      </c>
      <c r="H6" s="24" t="s">
        <v>178</v>
      </c>
      <c r="I6" s="25" t="s">
        <v>155</v>
      </c>
      <c r="J6" s="25" t="s">
        <v>173</v>
      </c>
      <c r="K6" s="25" t="s">
        <v>157</v>
      </c>
      <c r="L6" s="25" t="s">
        <v>174</v>
      </c>
      <c r="M6" s="25" t="s">
        <v>159</v>
      </c>
    </row>
    <row r="7" ht="38.25" spans="1:13">
      <c r="A7" s="23" t="s">
        <v>103</v>
      </c>
      <c r="B7" s="24" t="s">
        <v>149</v>
      </c>
      <c r="C7" s="24" t="s">
        <v>179</v>
      </c>
      <c r="D7" s="24" t="s">
        <v>161</v>
      </c>
      <c r="E7" s="24" t="s">
        <v>180</v>
      </c>
      <c r="F7" s="24" t="s">
        <v>181</v>
      </c>
      <c r="G7" s="24" t="s">
        <v>182</v>
      </c>
      <c r="H7" s="24" t="s">
        <v>182</v>
      </c>
      <c r="I7" s="25" t="s">
        <v>155</v>
      </c>
      <c r="J7" s="25" t="s">
        <v>183</v>
      </c>
      <c r="K7" s="25" t="s">
        <v>157</v>
      </c>
      <c r="L7" s="25" t="s">
        <v>174</v>
      </c>
      <c r="M7" s="25" t="s">
        <v>159</v>
      </c>
    </row>
    <row r="8" ht="38.25" spans="1:13">
      <c r="A8" s="23" t="s">
        <v>78</v>
      </c>
      <c r="B8" s="24" t="s">
        <v>149</v>
      </c>
      <c r="C8" s="24" t="s">
        <v>184</v>
      </c>
      <c r="D8" s="24" t="s">
        <v>161</v>
      </c>
      <c r="E8" s="24" t="s">
        <v>185</v>
      </c>
      <c r="F8" s="24" t="s">
        <v>186</v>
      </c>
      <c r="G8" s="24" t="s">
        <v>187</v>
      </c>
      <c r="H8" s="24" t="s">
        <v>187</v>
      </c>
      <c r="I8" s="25" t="s">
        <v>155</v>
      </c>
      <c r="J8" s="25" t="s">
        <v>156</v>
      </c>
      <c r="K8" s="25" t="s">
        <v>157</v>
      </c>
      <c r="L8" s="25" t="s">
        <v>188</v>
      </c>
      <c r="M8" s="25" t="s">
        <v>159</v>
      </c>
    </row>
    <row r="9" ht="25.5" spans="1:13">
      <c r="A9" s="23" t="s">
        <v>189</v>
      </c>
      <c r="B9" s="24" t="s">
        <v>149</v>
      </c>
      <c r="C9" s="24" t="s">
        <v>190</v>
      </c>
      <c r="D9" s="24" t="s">
        <v>161</v>
      </c>
      <c r="E9" s="24" t="s">
        <v>191</v>
      </c>
      <c r="F9" s="24" t="s">
        <v>73</v>
      </c>
      <c r="G9" s="24" t="s">
        <v>192</v>
      </c>
      <c r="H9" s="24" t="s">
        <v>192</v>
      </c>
      <c r="I9" s="25" t="s">
        <v>155</v>
      </c>
      <c r="J9" s="25" t="s">
        <v>183</v>
      </c>
      <c r="K9" s="25" t="s">
        <v>157</v>
      </c>
      <c r="L9" s="25" t="s">
        <v>193</v>
      </c>
      <c r="M9" s="25" t="s">
        <v>159</v>
      </c>
    </row>
    <row r="10" ht="51" spans="1:13">
      <c r="A10" s="23" t="s">
        <v>194</v>
      </c>
      <c r="B10" s="24" t="s">
        <v>195</v>
      </c>
      <c r="C10" s="24" t="s">
        <v>196</v>
      </c>
      <c r="D10" s="24" t="s">
        <v>197</v>
      </c>
      <c r="E10" s="24" t="s">
        <v>198</v>
      </c>
      <c r="F10" s="24" t="s">
        <v>157</v>
      </c>
      <c r="G10" s="24" t="s">
        <v>199</v>
      </c>
      <c r="H10" s="24" t="s">
        <v>200</v>
      </c>
      <c r="I10" s="25" t="s">
        <v>155</v>
      </c>
      <c r="J10" s="25" t="s">
        <v>173</v>
      </c>
      <c r="K10" s="25" t="s">
        <v>157</v>
      </c>
      <c r="L10" s="25" t="s">
        <v>201</v>
      </c>
      <c r="M10" s="25" t="s">
        <v>159</v>
      </c>
    </row>
    <row r="11" ht="25.5" spans="1:13">
      <c r="A11" s="23" t="s">
        <v>202</v>
      </c>
      <c r="B11" s="24" t="s">
        <v>195</v>
      </c>
      <c r="C11" s="24" t="s">
        <v>203</v>
      </c>
      <c r="D11" s="24" t="s">
        <v>197</v>
      </c>
      <c r="E11" s="24" t="s">
        <v>204</v>
      </c>
      <c r="F11" s="24" t="s">
        <v>157</v>
      </c>
      <c r="G11" s="24" t="s">
        <v>205</v>
      </c>
      <c r="H11" s="24" t="s">
        <v>205</v>
      </c>
      <c r="I11" s="25" t="s">
        <v>155</v>
      </c>
      <c r="J11" s="25" t="s">
        <v>183</v>
      </c>
      <c r="K11" s="25" t="s">
        <v>157</v>
      </c>
      <c r="L11" s="25" t="s">
        <v>206</v>
      </c>
      <c r="M11" s="25" t="s">
        <v>159</v>
      </c>
    </row>
    <row r="12" ht="25.5" spans="1:13">
      <c r="A12" s="23" t="s">
        <v>207</v>
      </c>
      <c r="B12" s="24" t="s">
        <v>195</v>
      </c>
      <c r="C12" s="24" t="s">
        <v>208</v>
      </c>
      <c r="D12" s="24" t="s">
        <v>209</v>
      </c>
      <c r="E12" s="24" t="s">
        <v>210</v>
      </c>
      <c r="F12" s="24" t="s">
        <v>157</v>
      </c>
      <c r="G12" s="24" t="s">
        <v>211</v>
      </c>
      <c r="H12" s="24" t="s">
        <v>211</v>
      </c>
      <c r="I12" s="25" t="s">
        <v>155</v>
      </c>
      <c r="J12" s="25" t="s">
        <v>173</v>
      </c>
      <c r="K12" s="25" t="s">
        <v>157</v>
      </c>
      <c r="L12" s="25" t="s">
        <v>206</v>
      </c>
      <c r="M12" s="25" t="s">
        <v>159</v>
      </c>
    </row>
    <row r="13" ht="25.5" spans="1:13">
      <c r="A13" s="23" t="s">
        <v>212</v>
      </c>
      <c r="B13" s="24" t="s">
        <v>195</v>
      </c>
      <c r="C13" s="24" t="s">
        <v>213</v>
      </c>
      <c r="D13" s="24" t="s">
        <v>209</v>
      </c>
      <c r="E13" s="24" t="s">
        <v>214</v>
      </c>
      <c r="F13" s="24" t="s">
        <v>157</v>
      </c>
      <c r="G13" s="24" t="s">
        <v>215</v>
      </c>
      <c r="H13" s="24" t="s">
        <v>215</v>
      </c>
      <c r="I13" s="25" t="s">
        <v>155</v>
      </c>
      <c r="J13" s="25" t="s">
        <v>173</v>
      </c>
      <c r="K13" s="25" t="s">
        <v>157</v>
      </c>
      <c r="L13" s="25" t="s">
        <v>206</v>
      </c>
      <c r="M13" s="25" t="s">
        <v>159</v>
      </c>
    </row>
    <row r="14" ht="25.5" spans="1:13">
      <c r="A14" s="23" t="s">
        <v>216</v>
      </c>
      <c r="B14" s="24" t="s">
        <v>195</v>
      </c>
      <c r="C14" s="24" t="s">
        <v>217</v>
      </c>
      <c r="D14" s="24" t="s">
        <v>209</v>
      </c>
      <c r="E14" s="24" t="s">
        <v>218</v>
      </c>
      <c r="F14" s="24" t="s">
        <v>157</v>
      </c>
      <c r="G14" s="24" t="s">
        <v>219</v>
      </c>
      <c r="H14" s="24" t="s">
        <v>219</v>
      </c>
      <c r="I14" s="25" t="s">
        <v>155</v>
      </c>
      <c r="J14" s="25" t="s">
        <v>183</v>
      </c>
      <c r="K14" s="25" t="s">
        <v>157</v>
      </c>
      <c r="L14" s="25" t="s">
        <v>206</v>
      </c>
      <c r="M14" s="25" t="s">
        <v>159</v>
      </c>
    </row>
    <row r="15" ht="25.5" spans="1:13">
      <c r="A15" s="23" t="s">
        <v>220</v>
      </c>
      <c r="B15" s="24" t="s">
        <v>221</v>
      </c>
      <c r="C15" s="24" t="s">
        <v>222</v>
      </c>
      <c r="D15" s="24" t="s">
        <v>209</v>
      </c>
      <c r="E15" s="24" t="s">
        <v>223</v>
      </c>
      <c r="F15" s="24" t="s">
        <v>127</v>
      </c>
      <c r="G15" s="24" t="s">
        <v>224</v>
      </c>
      <c r="H15" s="24" t="s">
        <v>224</v>
      </c>
      <c r="I15" s="25" t="s">
        <v>155</v>
      </c>
      <c r="J15" s="25" t="s">
        <v>156</v>
      </c>
      <c r="K15" s="25" t="s">
        <v>157</v>
      </c>
      <c r="L15" s="25" t="s">
        <v>225</v>
      </c>
      <c r="M15" s="25" t="s">
        <v>159</v>
      </c>
    </row>
    <row r="16" ht="38.25" spans="1:13">
      <c r="A16" s="23" t="s">
        <v>226</v>
      </c>
      <c r="B16" s="24" t="s">
        <v>221</v>
      </c>
      <c r="C16" s="24" t="s">
        <v>227</v>
      </c>
      <c r="D16" s="24" t="s">
        <v>209</v>
      </c>
      <c r="E16" s="24" t="s">
        <v>228</v>
      </c>
      <c r="F16" s="24" t="s">
        <v>229</v>
      </c>
      <c r="G16" s="24" t="s">
        <v>230</v>
      </c>
      <c r="H16" s="24" t="s">
        <v>230</v>
      </c>
      <c r="I16" s="25" t="s">
        <v>155</v>
      </c>
      <c r="J16" s="25" t="s">
        <v>156</v>
      </c>
      <c r="K16" s="25" t="s">
        <v>157</v>
      </c>
      <c r="L16" s="25" t="s">
        <v>225</v>
      </c>
      <c r="M16" s="25" t="s">
        <v>159</v>
      </c>
    </row>
    <row r="17" ht="25.5" spans="1:13">
      <c r="A17" s="23" t="s">
        <v>231</v>
      </c>
      <c r="B17" s="24" t="s">
        <v>221</v>
      </c>
      <c r="C17" s="24" t="s">
        <v>232</v>
      </c>
      <c r="D17" s="24" t="s">
        <v>233</v>
      </c>
      <c r="E17" s="24" t="s">
        <v>234</v>
      </c>
      <c r="F17" s="24" t="s">
        <v>127</v>
      </c>
      <c r="G17" s="24" t="s">
        <v>235</v>
      </c>
      <c r="H17" s="24" t="s">
        <v>235</v>
      </c>
      <c r="I17" s="25" t="s">
        <v>155</v>
      </c>
      <c r="J17" s="25" t="s">
        <v>156</v>
      </c>
      <c r="K17" s="25" t="s">
        <v>157</v>
      </c>
      <c r="L17" s="25" t="s">
        <v>236</v>
      </c>
      <c r="M17" s="25" t="s">
        <v>159</v>
      </c>
    </row>
    <row r="18" ht="38.25" spans="1:13">
      <c r="A18" s="23" t="s">
        <v>237</v>
      </c>
      <c r="B18" s="24" t="s">
        <v>221</v>
      </c>
      <c r="C18" s="24" t="s">
        <v>238</v>
      </c>
      <c r="D18" s="24" t="s">
        <v>233</v>
      </c>
      <c r="E18" s="24" t="s">
        <v>239</v>
      </c>
      <c r="F18" s="24" t="s">
        <v>157</v>
      </c>
      <c r="G18" s="24" t="s">
        <v>240</v>
      </c>
      <c r="H18" s="24" t="s">
        <v>240</v>
      </c>
      <c r="I18" s="25" t="s">
        <v>155</v>
      </c>
      <c r="J18" s="25" t="s">
        <v>173</v>
      </c>
      <c r="K18" s="25" t="s">
        <v>157</v>
      </c>
      <c r="L18" s="25" t="s">
        <v>241</v>
      </c>
      <c r="M18" s="25" t="s">
        <v>159</v>
      </c>
    </row>
    <row r="19" ht="25.5" spans="1:13">
      <c r="A19" s="23" t="s">
        <v>242</v>
      </c>
      <c r="B19" s="24" t="s">
        <v>221</v>
      </c>
      <c r="C19" s="24" t="s">
        <v>243</v>
      </c>
      <c r="D19" s="24" t="s">
        <v>244</v>
      </c>
      <c r="E19" s="24" t="s">
        <v>245</v>
      </c>
      <c r="F19" s="24" t="s">
        <v>157</v>
      </c>
      <c r="G19" s="24" t="s">
        <v>246</v>
      </c>
      <c r="H19" s="24" t="s">
        <v>246</v>
      </c>
      <c r="I19" s="25" t="s">
        <v>155</v>
      </c>
      <c r="J19" s="25" t="s">
        <v>183</v>
      </c>
      <c r="K19" s="25" t="s">
        <v>157</v>
      </c>
      <c r="L19" s="25" t="s">
        <v>247</v>
      </c>
      <c r="M19" s="25" t="s">
        <v>159</v>
      </c>
    </row>
    <row r="20" ht="63.75" spans="1:13">
      <c r="A20" s="23" t="s">
        <v>248</v>
      </c>
      <c r="B20" s="24" t="s">
        <v>221</v>
      </c>
      <c r="C20" s="24" t="s">
        <v>249</v>
      </c>
      <c r="D20" s="24" t="s">
        <v>250</v>
      </c>
      <c r="E20" s="24" t="s">
        <v>251</v>
      </c>
      <c r="F20" s="24" t="s">
        <v>252</v>
      </c>
      <c r="G20" s="24" t="s">
        <v>253</v>
      </c>
      <c r="H20" s="24" t="s">
        <v>254</v>
      </c>
      <c r="I20" s="25" t="s">
        <v>255</v>
      </c>
      <c r="J20" s="25" t="s">
        <v>173</v>
      </c>
      <c r="K20" s="25" t="s">
        <v>173</v>
      </c>
      <c r="L20" s="25" t="s">
        <v>256</v>
      </c>
      <c r="M20" s="25" t="s">
        <v>257</v>
      </c>
    </row>
    <row r="21" ht="15.75" customHeight="1" spans="1:13">
      <c r="A21" s="23" t="s">
        <v>112</v>
      </c>
      <c r="B21" s="24" t="s">
        <v>258</v>
      </c>
      <c r="C21" s="24" t="s">
        <v>259</v>
      </c>
      <c r="D21" s="24" t="s">
        <v>260</v>
      </c>
      <c r="E21" s="24" t="s">
        <v>261</v>
      </c>
      <c r="F21" s="24" t="s">
        <v>262</v>
      </c>
      <c r="G21" s="24" t="s">
        <v>263</v>
      </c>
      <c r="H21" s="24" t="s">
        <v>263</v>
      </c>
      <c r="I21" s="25" t="s">
        <v>155</v>
      </c>
      <c r="J21" s="25" t="s">
        <v>156</v>
      </c>
      <c r="K21" s="25" t="s">
        <v>157</v>
      </c>
      <c r="L21" s="25" t="s">
        <v>264</v>
      </c>
      <c r="M21" s="25" t="s">
        <v>159</v>
      </c>
    </row>
    <row r="22" ht="15.75" customHeight="1" spans="1:13">
      <c r="A22" s="23" t="s">
        <v>114</v>
      </c>
      <c r="B22" s="24" t="s">
        <v>258</v>
      </c>
      <c r="C22" s="24" t="s">
        <v>265</v>
      </c>
      <c r="D22" s="24" t="s">
        <v>266</v>
      </c>
      <c r="E22" s="24" t="s">
        <v>267</v>
      </c>
      <c r="F22" s="24" t="s">
        <v>268</v>
      </c>
      <c r="G22" s="24" t="s">
        <v>269</v>
      </c>
      <c r="H22" s="24" t="s">
        <v>269</v>
      </c>
      <c r="I22" s="25" t="s">
        <v>155</v>
      </c>
      <c r="J22" s="25" t="s">
        <v>173</v>
      </c>
      <c r="K22" s="25" t="s">
        <v>157</v>
      </c>
      <c r="L22" s="25" t="s">
        <v>270</v>
      </c>
      <c r="M22" s="25" t="s">
        <v>159</v>
      </c>
    </row>
    <row r="23" ht="15.75" customHeight="1" spans="1:13">
      <c r="A23" s="23" t="s">
        <v>116</v>
      </c>
      <c r="B23" s="24" t="s">
        <v>258</v>
      </c>
      <c r="C23" s="24" t="s">
        <v>271</v>
      </c>
      <c r="D23" s="24" t="s">
        <v>266</v>
      </c>
      <c r="E23" s="24" t="s">
        <v>272</v>
      </c>
      <c r="F23" s="24" t="s">
        <v>273</v>
      </c>
      <c r="G23" s="24" t="s">
        <v>274</v>
      </c>
      <c r="H23" s="24" t="s">
        <v>274</v>
      </c>
      <c r="I23" s="25" t="s">
        <v>155</v>
      </c>
      <c r="J23" s="25" t="s">
        <v>173</v>
      </c>
      <c r="K23" s="25" t="s">
        <v>157</v>
      </c>
      <c r="L23" s="25" t="s">
        <v>270</v>
      </c>
      <c r="M23" s="25" t="s">
        <v>159</v>
      </c>
    </row>
    <row r="24" ht="15.75" customHeight="1" spans="1:13">
      <c r="A24" s="23" t="s">
        <v>118</v>
      </c>
      <c r="B24" s="24" t="s">
        <v>258</v>
      </c>
      <c r="C24" s="24" t="s">
        <v>275</v>
      </c>
      <c r="D24" s="24" t="s">
        <v>266</v>
      </c>
      <c r="E24" s="24" t="s">
        <v>276</v>
      </c>
      <c r="F24" s="24" t="s">
        <v>277</v>
      </c>
      <c r="G24" s="24" t="s">
        <v>278</v>
      </c>
      <c r="H24" s="24" t="s">
        <v>278</v>
      </c>
      <c r="I24" s="25" t="s">
        <v>155</v>
      </c>
      <c r="J24" s="25" t="s">
        <v>173</v>
      </c>
      <c r="K24" s="25" t="s">
        <v>157</v>
      </c>
      <c r="L24" s="25" t="s">
        <v>270</v>
      </c>
      <c r="M24" s="25" t="s">
        <v>159</v>
      </c>
    </row>
    <row r="25" ht="15.75" customHeight="1" spans="1:13">
      <c r="A25" s="23" t="s">
        <v>120</v>
      </c>
      <c r="B25" s="24" t="s">
        <v>258</v>
      </c>
      <c r="C25" s="24" t="s">
        <v>279</v>
      </c>
      <c r="D25" s="24" t="s">
        <v>266</v>
      </c>
      <c r="E25" s="24" t="s">
        <v>280</v>
      </c>
      <c r="F25" s="24" t="s">
        <v>281</v>
      </c>
      <c r="G25" s="24" t="s">
        <v>282</v>
      </c>
      <c r="H25" s="24" t="s">
        <v>282</v>
      </c>
      <c r="I25" s="25" t="s">
        <v>155</v>
      </c>
      <c r="J25" s="25" t="s">
        <v>183</v>
      </c>
      <c r="K25" s="25" t="s">
        <v>157</v>
      </c>
      <c r="L25" s="25" t="s">
        <v>270</v>
      </c>
      <c r="M25" s="25" t="s">
        <v>159</v>
      </c>
    </row>
    <row r="26" ht="15.75" customHeight="1" spans="1:13">
      <c r="A26" s="23" t="s">
        <v>283</v>
      </c>
      <c r="B26" s="24" t="s">
        <v>258</v>
      </c>
      <c r="C26" s="24" t="s">
        <v>284</v>
      </c>
      <c r="D26" s="24" t="s">
        <v>266</v>
      </c>
      <c r="E26" s="24" t="s">
        <v>285</v>
      </c>
      <c r="F26" s="24" t="s">
        <v>286</v>
      </c>
      <c r="G26" s="24" t="s">
        <v>287</v>
      </c>
      <c r="H26" s="24" t="s">
        <v>288</v>
      </c>
      <c r="I26" s="25" t="s">
        <v>255</v>
      </c>
      <c r="J26" s="25" t="s">
        <v>183</v>
      </c>
      <c r="K26" s="25" t="s">
        <v>173</v>
      </c>
      <c r="L26" s="25" t="s">
        <v>289</v>
      </c>
      <c r="M26" s="25" t="s">
        <v>290</v>
      </c>
    </row>
    <row r="27" ht="15.75" customHeight="1" spans="1:13">
      <c r="A27" s="23" t="s">
        <v>291</v>
      </c>
      <c r="B27" s="24" t="s">
        <v>258</v>
      </c>
      <c r="C27" s="24" t="s">
        <v>292</v>
      </c>
      <c r="D27" s="24" t="s">
        <v>293</v>
      </c>
      <c r="E27" s="24" t="s">
        <v>294</v>
      </c>
      <c r="F27" s="24" t="s">
        <v>295</v>
      </c>
      <c r="G27" s="24" t="s">
        <v>296</v>
      </c>
      <c r="H27" s="24" t="s">
        <v>297</v>
      </c>
      <c r="I27" s="25" t="s">
        <v>155</v>
      </c>
      <c r="J27" s="25" t="s">
        <v>156</v>
      </c>
      <c r="K27" s="25" t="s">
        <v>157</v>
      </c>
      <c r="L27" s="25" t="s">
        <v>298</v>
      </c>
      <c r="M27" s="25" t="s">
        <v>159</v>
      </c>
    </row>
    <row r="28" ht="15.75" customHeight="1" spans="1:13">
      <c r="A28" s="23" t="s">
        <v>299</v>
      </c>
      <c r="B28" s="24" t="s">
        <v>258</v>
      </c>
      <c r="C28" s="24" t="s">
        <v>300</v>
      </c>
      <c r="D28" s="24" t="s">
        <v>301</v>
      </c>
      <c r="E28" s="24" t="s">
        <v>302</v>
      </c>
      <c r="F28" s="24" t="s">
        <v>157</v>
      </c>
      <c r="G28" s="24" t="s">
        <v>303</v>
      </c>
      <c r="H28" s="24" t="s">
        <v>304</v>
      </c>
      <c r="I28" s="25" t="s">
        <v>155</v>
      </c>
      <c r="J28" s="25" t="s">
        <v>156</v>
      </c>
      <c r="K28" s="25" t="s">
        <v>157</v>
      </c>
      <c r="L28" s="25" t="s">
        <v>305</v>
      </c>
      <c r="M28" s="25" t="s">
        <v>159</v>
      </c>
    </row>
    <row r="29" ht="15.75" customHeight="1" spans="1:13">
      <c r="A29" s="23" t="s">
        <v>306</v>
      </c>
      <c r="B29" s="24" t="s">
        <v>258</v>
      </c>
      <c r="C29" s="24" t="s">
        <v>307</v>
      </c>
      <c r="D29" s="24" t="s">
        <v>308</v>
      </c>
      <c r="E29" s="24" t="s">
        <v>309</v>
      </c>
      <c r="F29" s="24" t="s">
        <v>157</v>
      </c>
      <c r="G29" s="24" t="s">
        <v>310</v>
      </c>
      <c r="H29" s="24" t="s">
        <v>310</v>
      </c>
      <c r="I29" s="25" t="s">
        <v>155</v>
      </c>
      <c r="J29" s="25" t="s">
        <v>183</v>
      </c>
      <c r="K29" s="25" t="s">
        <v>157</v>
      </c>
      <c r="L29" s="25" t="s">
        <v>311</v>
      </c>
      <c r="M29" s="25" t="s">
        <v>159</v>
      </c>
    </row>
    <row r="30" ht="15.75" customHeight="1" spans="1:13">
      <c r="I30" s="30"/>
      <c r="J30" s="30"/>
      <c r="K30" s="30"/>
    </row>
    <row r="31" ht="15.75" customHeight="1" spans="1:13">
      <c r="I31" s="30"/>
      <c r="J31" s="30"/>
      <c r="K31" s="30"/>
    </row>
    <row r="32" ht="15.75" customHeight="1" spans="1:13">
      <c r="I32" s="30"/>
      <c r="J32" s="30"/>
      <c r="K32" s="30"/>
    </row>
    <row r="33" ht="15.75" customHeight="1" spans="9:11">
      <c r="I33" s="30"/>
      <c r="J33" s="30"/>
      <c r="K33" s="30"/>
    </row>
    <row r="34" ht="15.75" customHeight="1" spans="9:11">
      <c r="I34" s="30"/>
      <c r="J34" s="30"/>
      <c r="K34" s="30"/>
    </row>
    <row r="35" ht="15.75" customHeight="1" spans="9:11">
      <c r="I35" s="30"/>
      <c r="J35" s="30"/>
      <c r="K35" s="30"/>
    </row>
    <row r="36" ht="15.75" customHeight="1" spans="9:11">
      <c r="I36" s="30"/>
      <c r="J36" s="30"/>
      <c r="K36" s="30"/>
    </row>
    <row r="37" ht="15.75" customHeight="1" spans="9:11">
      <c r="I37" s="30"/>
      <c r="J37" s="30"/>
      <c r="K37" s="30"/>
    </row>
    <row r="38" ht="15.75" customHeight="1" spans="9:11">
      <c r="I38" s="30"/>
      <c r="J38" s="30"/>
      <c r="K38" s="30"/>
    </row>
    <row r="39" ht="15.75" customHeight="1" spans="9:11">
      <c r="I39" s="30"/>
      <c r="J39" s="30"/>
      <c r="K39" s="30"/>
    </row>
    <row r="40" ht="15.75" customHeight="1" spans="9:11">
      <c r="I40" s="30"/>
      <c r="J40" s="30"/>
      <c r="K40" s="30"/>
    </row>
    <row r="41" ht="15.75" customHeight="1" spans="9:11">
      <c r="I41" s="30"/>
      <c r="J41" s="30"/>
      <c r="K41" s="30"/>
    </row>
    <row r="42" ht="15.75" customHeight="1" spans="9:11">
      <c r="I42" s="30"/>
      <c r="J42" s="30"/>
      <c r="K42" s="30"/>
    </row>
    <row r="43" ht="15.75" customHeight="1" spans="9:11">
      <c r="I43" s="30"/>
      <c r="J43" s="30"/>
      <c r="K43" s="30"/>
    </row>
    <row r="44" ht="15.75" customHeight="1" spans="9:11">
      <c r="I44" s="30"/>
      <c r="J44" s="30"/>
      <c r="K44" s="30"/>
    </row>
    <row r="45" ht="15.75" customHeight="1" spans="9:11">
      <c r="I45" s="30"/>
      <c r="J45" s="30"/>
      <c r="K45" s="30"/>
    </row>
    <row r="46" ht="15.75" customHeight="1" spans="9:11">
      <c r="I46" s="30"/>
      <c r="J46" s="30"/>
      <c r="K46" s="30"/>
    </row>
    <row r="47" ht="15.75" customHeight="1" spans="9:11">
      <c r="I47" s="30"/>
      <c r="J47" s="30"/>
      <c r="K47" s="30"/>
    </row>
    <row r="48" ht="15.75" customHeight="1" spans="9:11">
      <c r="I48" s="30"/>
      <c r="J48" s="30"/>
      <c r="K48" s="30"/>
    </row>
    <row r="49" ht="15.75" customHeight="1" spans="9:11">
      <c r="I49" s="30"/>
      <c r="J49" s="30"/>
      <c r="K49" s="30"/>
    </row>
    <row r="50" ht="15.75" customHeight="1" spans="9:11">
      <c r="I50" s="30"/>
      <c r="J50" s="30"/>
      <c r="K50" s="30"/>
    </row>
    <row r="51" ht="15.75" customHeight="1" spans="9:11">
      <c r="I51" s="30"/>
      <c r="J51" s="30"/>
      <c r="K51" s="30"/>
    </row>
    <row r="52" ht="15.75" customHeight="1" spans="9:11">
      <c r="I52" s="30"/>
      <c r="J52" s="30"/>
      <c r="K52" s="30"/>
    </row>
    <row r="53" ht="15.75" customHeight="1" spans="9:11">
      <c r="I53" s="30"/>
      <c r="J53" s="30"/>
      <c r="K53" s="30"/>
    </row>
    <row r="54" ht="15.75" customHeight="1" spans="9:11">
      <c r="I54" s="30"/>
      <c r="J54" s="30"/>
      <c r="K54" s="30"/>
    </row>
    <row r="55" ht="15.75" customHeight="1" spans="9:11">
      <c r="I55" s="30"/>
      <c r="J55" s="30"/>
      <c r="K55" s="30"/>
    </row>
    <row r="56" ht="15.75" customHeight="1" spans="9:11">
      <c r="I56" s="30"/>
      <c r="J56" s="30"/>
      <c r="K56" s="30"/>
    </row>
    <row r="57" ht="15.75" customHeight="1" spans="9:11">
      <c r="I57" s="30"/>
      <c r="J57" s="30"/>
      <c r="K57" s="30"/>
    </row>
    <row r="58" ht="15.75" customHeight="1" spans="9:11">
      <c r="I58" s="30"/>
      <c r="J58" s="30"/>
      <c r="K58" s="30"/>
    </row>
    <row r="59" ht="15.75" customHeight="1" spans="9:11">
      <c r="I59" s="30"/>
      <c r="J59" s="30"/>
      <c r="K59" s="30"/>
    </row>
    <row r="60" ht="15.75" customHeight="1" spans="9:11">
      <c r="I60" s="30"/>
      <c r="J60" s="30"/>
      <c r="K60" s="30"/>
    </row>
    <row r="61" ht="15.75" customHeight="1" spans="9:11">
      <c r="I61" s="30"/>
      <c r="J61" s="30"/>
      <c r="K61" s="30"/>
    </row>
    <row r="62" ht="15.75" customHeight="1" spans="9:11">
      <c r="I62" s="30"/>
      <c r="J62" s="30"/>
      <c r="K62" s="30"/>
    </row>
    <row r="63" ht="15.75" customHeight="1" spans="9:11">
      <c r="I63" s="30"/>
      <c r="J63" s="30"/>
      <c r="K63" s="30"/>
    </row>
    <row r="64" ht="15.75" customHeight="1" spans="9:11">
      <c r="I64" s="30"/>
      <c r="J64" s="30"/>
      <c r="K64" s="30"/>
    </row>
    <row r="65" ht="15.75" customHeight="1" spans="9:11">
      <c r="I65" s="30"/>
      <c r="J65" s="30"/>
      <c r="K65" s="30"/>
    </row>
    <row r="66" ht="15.75" customHeight="1" spans="9:11">
      <c r="I66" s="30"/>
      <c r="J66" s="30"/>
      <c r="K66" s="30"/>
    </row>
    <row r="67" ht="15.75" customHeight="1" spans="9:11">
      <c r="I67" s="30"/>
      <c r="J67" s="30"/>
      <c r="K67" s="30"/>
    </row>
    <row r="68" ht="15.75" customHeight="1" spans="9:11">
      <c r="I68" s="30"/>
      <c r="J68" s="30"/>
      <c r="K68" s="30"/>
    </row>
    <row r="69" ht="15.75" customHeight="1" spans="9:11">
      <c r="I69" s="30"/>
      <c r="J69" s="30"/>
      <c r="K69" s="30"/>
    </row>
    <row r="70" ht="15.75" customHeight="1" spans="9:11">
      <c r="I70" s="30"/>
      <c r="J70" s="30"/>
      <c r="K70" s="30"/>
    </row>
    <row r="71" ht="15.75" customHeight="1" spans="9:11">
      <c r="I71" s="30"/>
      <c r="J71" s="30"/>
      <c r="K71" s="30"/>
    </row>
    <row r="72" ht="15.75" customHeight="1" spans="9:11">
      <c r="I72" s="30"/>
      <c r="J72" s="30"/>
      <c r="K72" s="30"/>
    </row>
    <row r="73" ht="15.75" customHeight="1" spans="9:11">
      <c r="I73" s="30"/>
      <c r="J73" s="30"/>
      <c r="K73" s="30"/>
    </row>
    <row r="74" ht="15.75" customHeight="1" spans="9:11">
      <c r="I74" s="30"/>
      <c r="J74" s="30"/>
      <c r="K74" s="30"/>
    </row>
    <row r="75" ht="15.75" customHeight="1" spans="9:11">
      <c r="I75" s="30"/>
      <c r="J75" s="30"/>
      <c r="K75" s="30"/>
    </row>
    <row r="76" ht="15.75" customHeight="1" spans="9:11">
      <c r="I76" s="30"/>
      <c r="J76" s="30"/>
      <c r="K76" s="30"/>
    </row>
    <row r="77" ht="15.75" customHeight="1" spans="9:11">
      <c r="I77" s="30"/>
      <c r="J77" s="30"/>
      <c r="K77" s="30"/>
    </row>
    <row r="78" ht="15.75" customHeight="1" spans="9:11">
      <c r="I78" s="30"/>
      <c r="J78" s="30"/>
      <c r="K78" s="30"/>
    </row>
    <row r="79" ht="15.75" customHeight="1" spans="9:11">
      <c r="I79" s="30"/>
      <c r="J79" s="30"/>
      <c r="K79" s="30"/>
    </row>
    <row r="80" ht="15.75" customHeight="1" spans="9:11">
      <c r="I80" s="30"/>
      <c r="J80" s="30"/>
      <c r="K80" s="30"/>
    </row>
    <row r="81" ht="15.75" customHeight="1" spans="9:11">
      <c r="I81" s="30"/>
      <c r="J81" s="30"/>
      <c r="K81" s="30"/>
    </row>
    <row r="82" ht="15.75" customHeight="1" spans="9:11">
      <c r="I82" s="30"/>
      <c r="J82" s="30"/>
      <c r="K82" s="30"/>
    </row>
    <row r="83" ht="15.75" customHeight="1" spans="9:11">
      <c r="I83" s="30"/>
      <c r="J83" s="30"/>
      <c r="K83" s="30"/>
    </row>
    <row r="84" ht="15.75" customHeight="1" spans="9:11">
      <c r="I84" s="30"/>
      <c r="J84" s="30"/>
      <c r="K84" s="30"/>
    </row>
    <row r="85" ht="15.75" customHeight="1" spans="9:11">
      <c r="I85" s="30"/>
      <c r="J85" s="30"/>
      <c r="K85" s="30"/>
    </row>
    <row r="86" ht="15.75" customHeight="1" spans="9:11">
      <c r="I86" s="30"/>
      <c r="J86" s="30"/>
      <c r="K86" s="30"/>
    </row>
    <row r="87" ht="15.75" customHeight="1" spans="9:11">
      <c r="I87" s="30"/>
      <c r="J87" s="30"/>
      <c r="K87" s="30"/>
    </row>
    <row r="88" ht="15.75" customHeight="1" spans="9:11">
      <c r="I88" s="30"/>
      <c r="J88" s="30"/>
      <c r="K88" s="30"/>
    </row>
    <row r="89" ht="15.75" customHeight="1" spans="9:11">
      <c r="I89" s="30"/>
      <c r="J89" s="30"/>
      <c r="K89" s="30"/>
    </row>
    <row r="90" ht="15.75" customHeight="1" spans="9:11">
      <c r="I90" s="30"/>
      <c r="J90" s="30"/>
      <c r="K90" s="30"/>
    </row>
    <row r="91" ht="15.75" customHeight="1" spans="9:11">
      <c r="I91" s="30"/>
      <c r="J91" s="30"/>
      <c r="K91" s="30"/>
    </row>
    <row r="92" ht="15.75" customHeight="1" spans="9:11">
      <c r="I92" s="30"/>
      <c r="J92" s="30"/>
      <c r="K92" s="30"/>
    </row>
    <row r="93" ht="15.75" customHeight="1" spans="9:11">
      <c r="I93" s="30"/>
      <c r="J93" s="30"/>
      <c r="K93" s="30"/>
    </row>
    <row r="94" ht="15.75" customHeight="1" spans="9:11">
      <c r="I94" s="30"/>
      <c r="J94" s="30"/>
      <c r="K94" s="30"/>
    </row>
    <row r="95" ht="15.75" customHeight="1" spans="9:11">
      <c r="I95" s="30"/>
      <c r="J95" s="30"/>
      <c r="K95" s="30"/>
    </row>
    <row r="96" ht="15.75" customHeight="1" spans="9:11">
      <c r="I96" s="30"/>
      <c r="J96" s="30"/>
      <c r="K96" s="30"/>
    </row>
    <row r="97" ht="15.75" customHeight="1" spans="9:11">
      <c r="I97" s="30"/>
      <c r="J97" s="30"/>
      <c r="K97" s="30"/>
    </row>
    <row r="98" ht="15.75" customHeight="1" spans="9:11">
      <c r="I98" s="30"/>
      <c r="J98" s="30"/>
      <c r="K98" s="30"/>
    </row>
    <row r="99" ht="15.75" customHeight="1" spans="9:11">
      <c r="I99" s="30"/>
      <c r="J99" s="30"/>
      <c r="K99" s="30"/>
    </row>
    <row r="100" ht="15.75" customHeight="1" spans="9:11">
      <c r="I100" s="30"/>
      <c r="J100" s="30"/>
      <c r="K100" s="30"/>
    </row>
    <row r="101" ht="15.75" customHeight="1" spans="9:11">
      <c r="I101" s="30"/>
      <c r="J101" s="30"/>
      <c r="K101" s="30"/>
    </row>
    <row r="102" ht="15.75" customHeight="1" spans="9:11">
      <c r="I102" s="30"/>
      <c r="J102" s="30"/>
      <c r="K102" s="30"/>
    </row>
    <row r="103" ht="15.75" customHeight="1" spans="9:11">
      <c r="I103" s="30"/>
      <c r="J103" s="30"/>
      <c r="K103" s="30"/>
    </row>
    <row r="104" ht="15.75" customHeight="1" spans="9:11">
      <c r="I104" s="30"/>
      <c r="J104" s="30"/>
      <c r="K104" s="30"/>
    </row>
    <row r="105" ht="15.75" customHeight="1" spans="9:11">
      <c r="I105" s="30"/>
      <c r="J105" s="30"/>
      <c r="K105" s="30"/>
    </row>
    <row r="106" ht="15.75" customHeight="1" spans="9:11">
      <c r="I106" s="30"/>
      <c r="J106" s="30"/>
      <c r="K106" s="30"/>
    </row>
    <row r="107" ht="15.75" customHeight="1" spans="9:11">
      <c r="I107" s="30"/>
      <c r="J107" s="30"/>
      <c r="K107" s="30"/>
    </row>
    <row r="108" ht="15.75" customHeight="1" spans="9:11">
      <c r="I108" s="30"/>
      <c r="J108" s="30"/>
      <c r="K108" s="30"/>
    </row>
    <row r="109" ht="15.75" customHeight="1" spans="9:11">
      <c r="I109" s="30"/>
      <c r="J109" s="30"/>
      <c r="K109" s="30"/>
    </row>
    <row r="110" ht="15.75" customHeight="1" spans="9:11">
      <c r="I110" s="30"/>
      <c r="J110" s="30"/>
      <c r="K110" s="30"/>
    </row>
    <row r="111" ht="15.75" customHeight="1" spans="9:11">
      <c r="I111" s="30"/>
      <c r="J111" s="30"/>
      <c r="K111" s="30"/>
    </row>
    <row r="112" ht="15.75" customHeight="1" spans="9:11">
      <c r="I112" s="30"/>
      <c r="J112" s="30"/>
      <c r="K112" s="30"/>
    </row>
    <row r="113" ht="15.75" customHeight="1" spans="9:11">
      <c r="I113" s="30"/>
      <c r="J113" s="30"/>
      <c r="K113" s="30"/>
    </row>
    <row r="114" ht="15.75" customHeight="1" spans="9:11">
      <c r="I114" s="30"/>
      <c r="J114" s="30"/>
      <c r="K114" s="30"/>
    </row>
    <row r="115" ht="15.75" customHeight="1" spans="9:11">
      <c r="I115" s="30"/>
      <c r="J115" s="30"/>
      <c r="K115" s="30"/>
    </row>
    <row r="116" ht="15.75" customHeight="1" spans="9:11">
      <c r="I116" s="30"/>
      <c r="J116" s="30"/>
      <c r="K116" s="30"/>
    </row>
    <row r="117" ht="15.75" customHeight="1" spans="9:11">
      <c r="I117" s="30"/>
      <c r="J117" s="30"/>
      <c r="K117" s="30"/>
    </row>
    <row r="118" ht="15.75" customHeight="1" spans="9:11">
      <c r="I118" s="30"/>
      <c r="J118" s="30"/>
      <c r="K118" s="30"/>
    </row>
    <row r="119" ht="15.75" customHeight="1" spans="9:11">
      <c r="I119" s="30"/>
      <c r="J119" s="30"/>
      <c r="K119" s="30"/>
    </row>
    <row r="120" ht="15.75" customHeight="1" spans="9:11">
      <c r="I120" s="30"/>
      <c r="J120" s="30"/>
      <c r="K120" s="30"/>
    </row>
    <row r="121" ht="15.75" customHeight="1" spans="9:11">
      <c r="I121" s="30"/>
      <c r="J121" s="30"/>
      <c r="K121" s="30"/>
    </row>
    <row r="122" ht="15.75" customHeight="1" spans="9:11">
      <c r="I122" s="30"/>
      <c r="J122" s="30"/>
      <c r="K122" s="30"/>
    </row>
    <row r="123" ht="15.75" customHeight="1" spans="9:11">
      <c r="I123" s="30"/>
      <c r="J123" s="30"/>
      <c r="K123" s="30"/>
    </row>
    <row r="124" ht="15.75" customHeight="1" spans="9:11">
      <c r="I124" s="30"/>
      <c r="J124" s="30"/>
      <c r="K124" s="30"/>
    </row>
    <row r="125" ht="15.75" customHeight="1" spans="9:11">
      <c r="I125" s="30"/>
      <c r="J125" s="30"/>
      <c r="K125" s="30"/>
    </row>
    <row r="126" ht="15.75" customHeight="1" spans="9:11">
      <c r="I126" s="30"/>
      <c r="J126" s="30"/>
      <c r="K126" s="30"/>
    </row>
    <row r="127" ht="15.75" customHeight="1" spans="9:11">
      <c r="I127" s="30"/>
      <c r="J127" s="30"/>
      <c r="K127" s="30"/>
    </row>
    <row r="128" ht="15.75" customHeight="1" spans="9:11">
      <c r="I128" s="30"/>
      <c r="J128" s="30"/>
      <c r="K128" s="30"/>
    </row>
    <row r="129" ht="15.75" customHeight="1" spans="9:11">
      <c r="I129" s="30"/>
      <c r="J129" s="30"/>
      <c r="K129" s="30"/>
    </row>
    <row r="130" ht="15.75" customHeight="1" spans="9:11">
      <c r="I130" s="30"/>
      <c r="J130" s="30"/>
      <c r="K130" s="30"/>
    </row>
    <row r="131" ht="15.75" customHeight="1" spans="9:11">
      <c r="I131" s="30"/>
      <c r="J131" s="30"/>
      <c r="K131" s="30"/>
    </row>
    <row r="132" ht="15.75" customHeight="1" spans="9:11">
      <c r="I132" s="30"/>
      <c r="J132" s="30"/>
      <c r="K132" s="30"/>
    </row>
    <row r="133" ht="15.75" customHeight="1" spans="9:11">
      <c r="I133" s="30"/>
      <c r="J133" s="30"/>
      <c r="K133" s="30"/>
    </row>
    <row r="134" ht="15.75" customHeight="1" spans="9:11">
      <c r="I134" s="30"/>
      <c r="J134" s="30"/>
      <c r="K134" s="30"/>
    </row>
    <row r="135" ht="15.75" customHeight="1" spans="9:11">
      <c r="I135" s="30"/>
      <c r="J135" s="30"/>
      <c r="K135" s="30"/>
    </row>
    <row r="136" ht="15.75" customHeight="1" spans="9:11">
      <c r="I136" s="30"/>
      <c r="J136" s="30"/>
      <c r="K136" s="30"/>
    </row>
    <row r="137" ht="15.75" customHeight="1" spans="9:11">
      <c r="I137" s="30"/>
      <c r="J137" s="30"/>
      <c r="K137" s="30"/>
    </row>
    <row r="138" ht="15.75" customHeight="1" spans="9:11">
      <c r="I138" s="30"/>
      <c r="J138" s="30"/>
      <c r="K138" s="30"/>
    </row>
    <row r="139" ht="15.75" customHeight="1" spans="9:11">
      <c r="I139" s="30"/>
      <c r="J139" s="30"/>
      <c r="K139" s="30"/>
    </row>
    <row r="140" ht="15.75" customHeight="1" spans="9:11">
      <c r="I140" s="30"/>
      <c r="J140" s="30"/>
      <c r="K140" s="30"/>
    </row>
    <row r="141" ht="15.75" customHeight="1" spans="9:11">
      <c r="I141" s="30"/>
      <c r="J141" s="30"/>
      <c r="K141" s="30"/>
    </row>
    <row r="142" ht="15.75" customHeight="1" spans="9:11">
      <c r="I142" s="30"/>
      <c r="J142" s="30"/>
      <c r="K142" s="30"/>
    </row>
    <row r="143" ht="15.75" customHeight="1" spans="9:11">
      <c r="I143" s="30"/>
      <c r="J143" s="30"/>
      <c r="K143" s="30"/>
    </row>
    <row r="144" ht="15.75" customHeight="1" spans="9:11">
      <c r="I144" s="30"/>
      <c r="J144" s="30"/>
      <c r="K144" s="30"/>
    </row>
    <row r="145" ht="15.75" customHeight="1" spans="9:11">
      <c r="I145" s="30"/>
      <c r="J145" s="30"/>
      <c r="K145" s="30"/>
    </row>
    <row r="146" ht="15.75" customHeight="1" spans="9:11">
      <c r="I146" s="30"/>
      <c r="J146" s="30"/>
      <c r="K146" s="30"/>
    </row>
    <row r="147" ht="15.75" customHeight="1" spans="9:11">
      <c r="I147" s="30"/>
      <c r="J147" s="30"/>
      <c r="K147" s="30"/>
    </row>
    <row r="148" ht="15.75" customHeight="1" spans="9:11">
      <c r="I148" s="30"/>
      <c r="J148" s="30"/>
      <c r="K148" s="30"/>
    </row>
    <row r="149" ht="15.75" customHeight="1" spans="9:11">
      <c r="I149" s="30"/>
      <c r="J149" s="30"/>
      <c r="K149" s="30"/>
    </row>
    <row r="150" ht="15.75" customHeight="1" spans="9:11">
      <c r="I150" s="30"/>
      <c r="J150" s="30"/>
      <c r="K150" s="30"/>
    </row>
    <row r="151" ht="15.75" customHeight="1" spans="9:11">
      <c r="I151" s="30"/>
      <c r="J151" s="30"/>
      <c r="K151" s="30"/>
    </row>
    <row r="152" ht="15.75" customHeight="1" spans="9:11">
      <c r="I152" s="30"/>
      <c r="J152" s="30"/>
      <c r="K152" s="30"/>
    </row>
    <row r="153" ht="15.75" customHeight="1" spans="9:11">
      <c r="I153" s="30"/>
      <c r="J153" s="30"/>
      <c r="K153" s="30"/>
    </row>
    <row r="154" ht="15.75" customHeight="1" spans="9:11">
      <c r="I154" s="30"/>
      <c r="J154" s="30"/>
      <c r="K154" s="30"/>
    </row>
    <row r="155" ht="15.75" customHeight="1" spans="9:11">
      <c r="I155" s="30"/>
      <c r="J155" s="30"/>
      <c r="K155" s="30"/>
    </row>
    <row r="156" ht="15.75" customHeight="1" spans="9:11">
      <c r="I156" s="30"/>
      <c r="J156" s="30"/>
      <c r="K156" s="30"/>
    </row>
    <row r="157" ht="15.75" customHeight="1" spans="9:11">
      <c r="I157" s="30"/>
      <c r="J157" s="30"/>
      <c r="K157" s="30"/>
    </row>
    <row r="158" ht="15.75" customHeight="1" spans="9:11">
      <c r="I158" s="30"/>
      <c r="J158" s="30"/>
      <c r="K158" s="30"/>
    </row>
    <row r="159" ht="15.75" customHeight="1" spans="9:11">
      <c r="I159" s="30"/>
      <c r="J159" s="30"/>
      <c r="K159" s="30"/>
    </row>
    <row r="160" ht="15.75" customHeight="1" spans="9:11">
      <c r="I160" s="30"/>
      <c r="J160" s="30"/>
      <c r="K160" s="30"/>
    </row>
    <row r="161" ht="15.75" customHeight="1" spans="9:11">
      <c r="I161" s="30"/>
      <c r="J161" s="30"/>
      <c r="K161" s="30"/>
    </row>
    <row r="162" ht="15.75" customHeight="1" spans="9:11">
      <c r="I162" s="30"/>
      <c r="J162" s="30"/>
      <c r="K162" s="30"/>
    </row>
    <row r="163" ht="15.75" customHeight="1" spans="9:11">
      <c r="I163" s="30"/>
      <c r="J163" s="30"/>
      <c r="K163" s="30"/>
    </row>
    <row r="164" ht="15.75" customHeight="1" spans="9:11">
      <c r="I164" s="30"/>
      <c r="J164" s="30"/>
      <c r="K164" s="30"/>
    </row>
    <row r="165" ht="15.75" customHeight="1" spans="9:11">
      <c r="I165" s="30"/>
      <c r="J165" s="30"/>
      <c r="K165" s="30"/>
    </row>
    <row r="166" ht="15.75" customHeight="1" spans="9:11">
      <c r="I166" s="30"/>
      <c r="J166" s="30"/>
      <c r="K166" s="30"/>
    </row>
    <row r="167" ht="15.75" customHeight="1" spans="9:11">
      <c r="I167" s="30"/>
      <c r="J167" s="30"/>
      <c r="K167" s="30"/>
    </row>
    <row r="168" ht="15.75" customHeight="1" spans="9:11">
      <c r="I168" s="30"/>
      <c r="J168" s="30"/>
      <c r="K168" s="30"/>
    </row>
    <row r="169" ht="15.75" customHeight="1" spans="9:11">
      <c r="I169" s="30"/>
      <c r="J169" s="30"/>
      <c r="K169" s="30"/>
    </row>
    <row r="170" ht="15.75" customHeight="1" spans="9:11">
      <c r="I170" s="30"/>
      <c r="J170" s="30"/>
      <c r="K170" s="30"/>
    </row>
    <row r="171" ht="15.75" customHeight="1" spans="9:11">
      <c r="I171" s="30"/>
      <c r="J171" s="30"/>
      <c r="K171" s="30"/>
    </row>
    <row r="172" ht="15.75" customHeight="1" spans="9:11">
      <c r="I172" s="30"/>
      <c r="J172" s="30"/>
      <c r="K172" s="30"/>
    </row>
    <row r="173" ht="15.75" customHeight="1" spans="9:11">
      <c r="I173" s="30"/>
      <c r="J173" s="30"/>
      <c r="K173" s="30"/>
    </row>
    <row r="174" ht="15.75" customHeight="1" spans="9:11">
      <c r="I174" s="30"/>
      <c r="J174" s="30"/>
      <c r="K174" s="30"/>
    </row>
    <row r="175" ht="15.75" customHeight="1" spans="9:11">
      <c r="I175" s="30"/>
      <c r="J175" s="30"/>
      <c r="K175" s="30"/>
    </row>
    <row r="176" ht="15.75" customHeight="1" spans="9:11">
      <c r="I176" s="30"/>
      <c r="J176" s="30"/>
      <c r="K176" s="30"/>
    </row>
    <row r="177" ht="15.75" customHeight="1" spans="9:11">
      <c r="I177" s="30"/>
      <c r="J177" s="30"/>
      <c r="K177" s="30"/>
    </row>
    <row r="178" ht="15.75" customHeight="1" spans="9:11">
      <c r="I178" s="30"/>
      <c r="J178" s="30"/>
      <c r="K178" s="30"/>
    </row>
    <row r="179" ht="15.75" customHeight="1" spans="9:11">
      <c r="I179" s="30"/>
      <c r="J179" s="30"/>
      <c r="K179" s="30"/>
    </row>
    <row r="180" ht="15.75" customHeight="1" spans="9:11">
      <c r="I180" s="30"/>
      <c r="J180" s="30"/>
      <c r="K180" s="30"/>
    </row>
    <row r="181" ht="15.75" customHeight="1" spans="9:11">
      <c r="I181" s="30"/>
      <c r="J181" s="30"/>
      <c r="K181" s="30"/>
    </row>
    <row r="182" ht="15.75" customHeight="1" spans="9:11">
      <c r="I182" s="30"/>
      <c r="J182" s="30"/>
      <c r="K182" s="30"/>
    </row>
    <row r="183" ht="15.75" customHeight="1" spans="9:11">
      <c r="I183" s="30"/>
      <c r="J183" s="30"/>
      <c r="K183" s="30"/>
    </row>
    <row r="184" ht="15.75" customHeight="1" spans="9:11">
      <c r="I184" s="30"/>
      <c r="J184" s="30"/>
      <c r="K184" s="30"/>
    </row>
    <row r="185" ht="15.75" customHeight="1" spans="9:11">
      <c r="I185" s="30"/>
      <c r="J185" s="30"/>
      <c r="K185" s="30"/>
    </row>
    <row r="186" ht="15.75" customHeight="1" spans="9:11">
      <c r="I186" s="30"/>
      <c r="J186" s="30"/>
      <c r="K186" s="30"/>
    </row>
    <row r="187" ht="15.75" customHeight="1" spans="9:11">
      <c r="I187" s="30"/>
      <c r="J187" s="30"/>
      <c r="K187" s="30"/>
    </row>
    <row r="188" ht="15.75" customHeight="1" spans="9:11">
      <c r="I188" s="30"/>
      <c r="J188" s="30"/>
      <c r="K188" s="30"/>
    </row>
    <row r="189" ht="15.75" customHeight="1" spans="9:11">
      <c r="I189" s="30"/>
      <c r="J189" s="30"/>
      <c r="K189" s="30"/>
    </row>
    <row r="190" ht="15.75" customHeight="1" spans="9:11">
      <c r="I190" s="30"/>
      <c r="J190" s="30"/>
      <c r="K190" s="30"/>
    </row>
    <row r="191" ht="15.75" customHeight="1" spans="9:11">
      <c r="I191" s="30"/>
      <c r="J191" s="30"/>
      <c r="K191" s="30"/>
    </row>
    <row r="192" ht="15.75" customHeight="1" spans="9:11">
      <c r="I192" s="30"/>
      <c r="J192" s="30"/>
      <c r="K192" s="30"/>
    </row>
    <row r="193" ht="15.75" customHeight="1" spans="9:11">
      <c r="I193" s="30"/>
      <c r="J193" s="30"/>
      <c r="K193" s="30"/>
    </row>
    <row r="194" ht="15.75" customHeight="1" spans="9:11">
      <c r="I194" s="30"/>
      <c r="J194" s="30"/>
      <c r="K194" s="30"/>
    </row>
    <row r="195" ht="15.75" customHeight="1" spans="9:11">
      <c r="I195" s="30"/>
      <c r="J195" s="30"/>
      <c r="K195" s="30"/>
    </row>
    <row r="196" ht="15.75" customHeight="1" spans="9:11">
      <c r="I196" s="30"/>
      <c r="J196" s="30"/>
      <c r="K196" s="30"/>
    </row>
    <row r="197" ht="15.75" customHeight="1" spans="9:11">
      <c r="I197" s="30"/>
      <c r="J197" s="30"/>
      <c r="K197" s="30"/>
    </row>
    <row r="198" ht="15.75" customHeight="1" spans="9:11">
      <c r="I198" s="30"/>
      <c r="J198" s="30"/>
      <c r="K198" s="30"/>
    </row>
    <row r="199" ht="15.75" customHeight="1" spans="9:11">
      <c r="I199" s="30"/>
      <c r="J199" s="30"/>
      <c r="K199" s="30"/>
    </row>
    <row r="200" ht="15.75" customHeight="1" spans="9:11">
      <c r="I200" s="30"/>
      <c r="J200" s="30"/>
      <c r="K200" s="30"/>
    </row>
    <row r="201" ht="15.75" customHeight="1" spans="9:11">
      <c r="I201" s="30"/>
      <c r="J201" s="30"/>
      <c r="K201" s="30"/>
    </row>
    <row r="202" ht="15.75" customHeight="1" spans="9:11">
      <c r="I202" s="30"/>
      <c r="J202" s="30"/>
      <c r="K202" s="30"/>
    </row>
    <row r="203" ht="15.75" customHeight="1" spans="9:11">
      <c r="I203" s="30"/>
      <c r="J203" s="30"/>
      <c r="K203" s="30"/>
    </row>
    <row r="204" ht="15.75" customHeight="1" spans="9:11">
      <c r="I204" s="30"/>
      <c r="J204" s="30"/>
      <c r="K204" s="30"/>
    </row>
    <row r="205" ht="15.75" customHeight="1" spans="9:11">
      <c r="I205" s="30"/>
      <c r="J205" s="30"/>
      <c r="K205" s="30"/>
    </row>
    <row r="206" ht="15.75" customHeight="1" spans="9:11">
      <c r="I206" s="30"/>
      <c r="J206" s="30"/>
      <c r="K206" s="30"/>
    </row>
    <row r="207" ht="15.75" customHeight="1" spans="9:11">
      <c r="I207" s="30"/>
      <c r="J207" s="30"/>
      <c r="K207" s="30"/>
    </row>
    <row r="208" ht="15.75" customHeight="1" spans="9:11">
      <c r="I208" s="30"/>
      <c r="J208" s="30"/>
      <c r="K208" s="30"/>
    </row>
    <row r="209" ht="15.75" customHeight="1" spans="9:11">
      <c r="I209" s="30"/>
      <c r="J209" s="30"/>
      <c r="K209" s="30"/>
    </row>
    <row r="210" ht="15.75" customHeight="1" spans="9:11">
      <c r="I210" s="30"/>
      <c r="J210" s="30"/>
      <c r="K210" s="30"/>
    </row>
    <row r="211" ht="15.75" customHeight="1" spans="9:11">
      <c r="I211" s="30"/>
      <c r="J211" s="30"/>
      <c r="K211" s="30"/>
    </row>
    <row r="212" ht="15.75" customHeight="1" spans="9:11">
      <c r="I212" s="30"/>
      <c r="J212" s="30"/>
      <c r="K212" s="30"/>
    </row>
    <row r="213" ht="15.75" customHeight="1" spans="9:11">
      <c r="I213" s="30"/>
      <c r="J213" s="30"/>
      <c r="K213" s="30"/>
    </row>
    <row r="214" ht="15.75" customHeight="1" spans="9:11">
      <c r="I214" s="30"/>
      <c r="J214" s="30"/>
      <c r="K214" s="30"/>
    </row>
    <row r="215" ht="15.75" customHeight="1" spans="9:11">
      <c r="I215" s="30"/>
      <c r="J215" s="30"/>
      <c r="K215" s="30"/>
    </row>
    <row r="216" ht="15.75" customHeight="1" spans="9:11">
      <c r="I216" s="30"/>
      <c r="J216" s="30"/>
      <c r="K216" s="30"/>
    </row>
    <row r="217" ht="15.75" customHeight="1" spans="9:11">
      <c r="I217" s="30"/>
      <c r="J217" s="30"/>
      <c r="K217" s="30"/>
    </row>
    <row r="218" ht="15.75" customHeight="1" spans="9:11">
      <c r="I218" s="30"/>
      <c r="J218" s="30"/>
      <c r="K218" s="30"/>
    </row>
    <row r="219" ht="15.75" customHeight="1" spans="9:11">
      <c r="I219" s="30"/>
      <c r="J219" s="30"/>
      <c r="K219" s="30"/>
    </row>
    <row r="220" ht="15.75" customHeight="1" spans="9:11">
      <c r="I220" s="30"/>
      <c r="J220" s="30"/>
      <c r="K220" s="30"/>
    </row>
    <row r="221" ht="15.75" customHeight="1" spans="9:11">
      <c r="I221" s="30"/>
      <c r="J221" s="30"/>
      <c r="K221" s="30"/>
    </row>
    <row r="222" ht="15.75" customHeight="1" spans="9:11">
      <c r="I222" s="30"/>
      <c r="J222" s="30"/>
      <c r="K222" s="30"/>
    </row>
    <row r="223" ht="15.75" customHeight="1" spans="9:11">
      <c r="I223" s="30"/>
      <c r="J223" s="30"/>
      <c r="K223" s="30"/>
    </row>
    <row r="224" ht="15.75" customHeight="1" spans="9:11">
      <c r="I224" s="30"/>
      <c r="J224" s="30"/>
      <c r="K224" s="30"/>
    </row>
    <row r="225" ht="15.75" customHeight="1" spans="9:11">
      <c r="I225" s="30"/>
      <c r="J225" s="30"/>
      <c r="K225" s="30"/>
    </row>
    <row r="226" ht="15.75" customHeight="1" spans="9:11">
      <c r="I226" s="30"/>
      <c r="J226" s="30"/>
      <c r="K226" s="30"/>
    </row>
    <row r="227" ht="15.75" customHeight="1" spans="9:11">
      <c r="I227" s="30"/>
      <c r="J227" s="30"/>
      <c r="K227" s="30"/>
    </row>
    <row r="228" ht="15.75" customHeight="1" spans="9:11">
      <c r="I228" s="30"/>
      <c r="J228" s="30"/>
      <c r="K228" s="30"/>
    </row>
    <row r="229" ht="15.75" customHeight="1" spans="9:11">
      <c r="I229" s="30"/>
      <c r="J229" s="30"/>
      <c r="K229" s="30"/>
    </row>
    <row r="230" ht="15.75" customHeight="1" spans="9:11">
      <c r="I230" s="30"/>
      <c r="J230" s="30"/>
      <c r="K230" s="30"/>
    </row>
    <row r="231" ht="15.75" customHeight="1" spans="9:11">
      <c r="I231" s="30"/>
      <c r="J231" s="30"/>
      <c r="K231" s="30"/>
    </row>
    <row r="232" ht="15.75" customHeight="1" spans="9:11">
      <c r="I232" s="30"/>
      <c r="J232" s="30"/>
      <c r="K232" s="30"/>
    </row>
    <row r="233" ht="15.75" customHeight="1" spans="9:11">
      <c r="I233" s="30"/>
      <c r="J233" s="30"/>
      <c r="K233" s="30"/>
    </row>
    <row r="234" ht="15.75" customHeight="1" spans="9:11">
      <c r="I234" s="30"/>
      <c r="J234" s="30"/>
      <c r="K234" s="30"/>
    </row>
    <row r="235" ht="15.75" customHeight="1" spans="9:11">
      <c r="I235" s="30"/>
      <c r="J235" s="30"/>
      <c r="K235" s="30"/>
    </row>
    <row r="236" ht="15.75" customHeight="1" spans="9:11">
      <c r="I236" s="30"/>
      <c r="J236" s="30"/>
      <c r="K236" s="30"/>
    </row>
    <row r="237" ht="15.75" customHeight="1" spans="9:11">
      <c r="I237" s="30"/>
      <c r="J237" s="30"/>
      <c r="K237" s="30"/>
    </row>
    <row r="238" ht="15.75" customHeight="1" spans="9:11">
      <c r="I238" s="30"/>
      <c r="J238" s="30"/>
      <c r="K238" s="30"/>
    </row>
    <row r="239" ht="15.75" customHeight="1" spans="9:11">
      <c r="I239" s="30"/>
      <c r="J239" s="30"/>
      <c r="K239" s="30"/>
    </row>
    <row r="240" ht="15.75" customHeight="1" spans="9:11">
      <c r="I240" s="30"/>
      <c r="J240" s="30"/>
      <c r="K240" s="30"/>
    </row>
    <row r="241" ht="15.75" customHeight="1" spans="9:11">
      <c r="I241" s="30"/>
      <c r="J241" s="30"/>
      <c r="K241" s="30"/>
    </row>
    <row r="242" ht="15.75" customHeight="1" spans="9:11">
      <c r="I242" s="30"/>
      <c r="J242" s="30"/>
      <c r="K242" s="30"/>
    </row>
    <row r="243" ht="15.75" customHeight="1" spans="9:11">
      <c r="I243" s="30"/>
      <c r="J243" s="30"/>
      <c r="K243" s="30"/>
    </row>
    <row r="244" ht="15.75" customHeight="1" spans="9:11">
      <c r="I244" s="30"/>
      <c r="J244" s="30"/>
      <c r="K244" s="30"/>
    </row>
    <row r="245" ht="15.75" customHeight="1" spans="9:11">
      <c r="I245" s="30"/>
      <c r="J245" s="30"/>
      <c r="K245" s="30"/>
    </row>
    <row r="246" ht="15.75" customHeight="1" spans="9:11">
      <c r="I246" s="30"/>
      <c r="J246" s="30"/>
      <c r="K246" s="30"/>
    </row>
    <row r="247" ht="15.75" customHeight="1" spans="9:11">
      <c r="I247" s="30"/>
      <c r="J247" s="30"/>
      <c r="K247" s="30"/>
    </row>
    <row r="248" ht="15.75" customHeight="1" spans="9:11">
      <c r="I248" s="30"/>
      <c r="J248" s="30"/>
      <c r="K248" s="30"/>
    </row>
    <row r="249" ht="15.75" customHeight="1" spans="9:11">
      <c r="I249" s="30"/>
      <c r="J249" s="30"/>
      <c r="K249" s="30"/>
    </row>
    <row r="250" ht="15.75" customHeight="1" spans="9:11">
      <c r="I250" s="30"/>
      <c r="J250" s="30"/>
      <c r="K250" s="30"/>
    </row>
    <row r="251" ht="15.75" customHeight="1" spans="9:11">
      <c r="I251" s="30"/>
      <c r="J251" s="30"/>
      <c r="K251" s="30"/>
    </row>
    <row r="252" ht="15.75" customHeight="1" spans="9:11">
      <c r="I252" s="30"/>
      <c r="J252" s="30"/>
      <c r="K252" s="30"/>
    </row>
    <row r="253" ht="15.75" customHeight="1" spans="9:11">
      <c r="I253" s="30"/>
      <c r="J253" s="30"/>
      <c r="K253" s="30"/>
    </row>
    <row r="254" ht="15.75" customHeight="1" spans="9:11">
      <c r="I254" s="30"/>
      <c r="J254" s="30"/>
      <c r="K254" s="30"/>
    </row>
    <row r="255" ht="15.75" customHeight="1" spans="9:11">
      <c r="I255" s="30"/>
      <c r="J255" s="30"/>
      <c r="K255" s="30"/>
    </row>
    <row r="256" ht="15.75" customHeight="1" spans="9:11">
      <c r="I256" s="30"/>
      <c r="J256" s="30"/>
      <c r="K256" s="30"/>
    </row>
    <row r="257" ht="15.75" customHeight="1" spans="9:11">
      <c r="I257" s="30"/>
      <c r="J257" s="30"/>
      <c r="K257" s="30"/>
    </row>
    <row r="258" ht="15.75" customHeight="1" spans="9:11">
      <c r="I258" s="30"/>
      <c r="J258" s="30"/>
      <c r="K258" s="30"/>
    </row>
    <row r="259" ht="15.75" customHeight="1" spans="9:11">
      <c r="I259" s="30"/>
      <c r="J259" s="30"/>
      <c r="K259" s="30"/>
    </row>
    <row r="260" ht="15.75" customHeight="1" spans="9:11">
      <c r="I260" s="30"/>
      <c r="J260" s="30"/>
      <c r="K260" s="30"/>
    </row>
    <row r="261" ht="15.75" customHeight="1" spans="9:11">
      <c r="I261" s="30"/>
      <c r="J261" s="30"/>
      <c r="K261" s="30"/>
    </row>
    <row r="262" ht="15.75" customHeight="1" spans="9:11">
      <c r="I262" s="30"/>
      <c r="J262" s="30"/>
      <c r="K262" s="30"/>
    </row>
    <row r="263" ht="15.75" customHeight="1" spans="9:11">
      <c r="I263" s="30"/>
      <c r="J263" s="30"/>
      <c r="K263" s="30"/>
    </row>
    <row r="264" ht="15.75" customHeight="1" spans="9:11">
      <c r="I264" s="30"/>
      <c r="J264" s="30"/>
      <c r="K264" s="30"/>
    </row>
    <row r="265" ht="15.75" customHeight="1" spans="9:11">
      <c r="I265" s="30"/>
      <c r="J265" s="30"/>
      <c r="K265" s="30"/>
    </row>
    <row r="266" ht="15.75" customHeight="1" spans="9:11">
      <c r="I266" s="30"/>
      <c r="J266" s="30"/>
      <c r="K266" s="30"/>
    </row>
    <row r="267" ht="15.75" customHeight="1" spans="9:11">
      <c r="I267" s="30"/>
      <c r="J267" s="30"/>
      <c r="K267" s="30"/>
    </row>
    <row r="268" ht="15.75" customHeight="1" spans="9:11">
      <c r="I268" s="30"/>
      <c r="J268" s="30"/>
      <c r="K268" s="30"/>
    </row>
    <row r="269" ht="15.75" customHeight="1" spans="9:11">
      <c r="I269" s="30"/>
      <c r="J269" s="30"/>
      <c r="K269" s="30"/>
    </row>
    <row r="270" ht="15.75" customHeight="1" spans="9:11">
      <c r="I270" s="30"/>
      <c r="J270" s="30"/>
      <c r="K270" s="30"/>
    </row>
    <row r="271" ht="15.75" customHeight="1" spans="9:11">
      <c r="I271" s="30"/>
      <c r="J271" s="30"/>
      <c r="K271" s="30"/>
    </row>
    <row r="272" ht="15.75" customHeight="1" spans="9:11">
      <c r="I272" s="30"/>
      <c r="J272" s="30"/>
      <c r="K272" s="30"/>
    </row>
    <row r="273" ht="15.75" customHeight="1" spans="9:11">
      <c r="I273" s="30"/>
      <c r="J273" s="30"/>
      <c r="K273" s="30"/>
    </row>
    <row r="274" ht="15.75" customHeight="1" spans="9:11">
      <c r="I274" s="30"/>
      <c r="J274" s="30"/>
      <c r="K274" s="30"/>
    </row>
    <row r="275" ht="15.75" customHeight="1" spans="9:11">
      <c r="I275" s="30"/>
      <c r="J275" s="30"/>
      <c r="K275" s="30"/>
    </row>
    <row r="276" ht="15.75" customHeight="1" spans="9:11">
      <c r="I276" s="30"/>
      <c r="J276" s="30"/>
      <c r="K276" s="30"/>
    </row>
    <row r="277" ht="15.75" customHeight="1" spans="9:11">
      <c r="I277" s="30"/>
      <c r="J277" s="30"/>
      <c r="K277" s="30"/>
    </row>
    <row r="278" ht="15.75" customHeight="1" spans="9:11">
      <c r="I278" s="30"/>
      <c r="J278" s="30"/>
      <c r="K278" s="30"/>
    </row>
    <row r="279" ht="15.75" customHeight="1" spans="9:11">
      <c r="I279" s="30"/>
      <c r="J279" s="30"/>
      <c r="K279" s="30"/>
    </row>
    <row r="280" ht="15.75" customHeight="1" spans="9:11">
      <c r="I280" s="30"/>
      <c r="J280" s="30"/>
      <c r="K280" s="30"/>
    </row>
    <row r="281" ht="15.75" customHeight="1" spans="9:11">
      <c r="I281" s="30"/>
      <c r="J281" s="30"/>
      <c r="K281" s="30"/>
    </row>
    <row r="282" ht="15.75" customHeight="1" spans="9:11">
      <c r="I282" s="30"/>
      <c r="J282" s="30"/>
      <c r="K282" s="30"/>
    </row>
    <row r="283" ht="15.75" customHeight="1" spans="9:11">
      <c r="I283" s="30"/>
      <c r="J283" s="30"/>
      <c r="K283" s="30"/>
    </row>
    <row r="284" ht="15.75" customHeight="1" spans="9:11">
      <c r="I284" s="30"/>
      <c r="J284" s="30"/>
      <c r="K284" s="30"/>
    </row>
    <row r="285" ht="15.75" customHeight="1" spans="9:11">
      <c r="I285" s="30"/>
      <c r="J285" s="30"/>
      <c r="K285" s="30"/>
    </row>
    <row r="286" ht="15.75" customHeight="1" spans="9:11">
      <c r="I286" s="30"/>
      <c r="J286" s="30"/>
      <c r="K286" s="30"/>
    </row>
    <row r="287" ht="15.75" customHeight="1" spans="9:11">
      <c r="I287" s="30"/>
      <c r="J287" s="30"/>
      <c r="K287" s="30"/>
    </row>
    <row r="288" ht="15.75" customHeight="1" spans="9:11">
      <c r="I288" s="30"/>
      <c r="J288" s="30"/>
      <c r="K288" s="30"/>
    </row>
    <row r="289" ht="15.75" customHeight="1" spans="9:11">
      <c r="I289" s="30"/>
      <c r="J289" s="30"/>
      <c r="K289" s="30"/>
    </row>
    <row r="290" ht="15.75" customHeight="1" spans="9:11">
      <c r="I290" s="30"/>
      <c r="J290" s="30"/>
      <c r="K290" s="30"/>
    </row>
    <row r="291" ht="15.75" customHeight="1" spans="9:11">
      <c r="I291" s="30"/>
      <c r="J291" s="30"/>
      <c r="K291" s="30"/>
    </row>
    <row r="292" ht="15.75" customHeight="1" spans="9:11">
      <c r="I292" s="30"/>
      <c r="J292" s="30"/>
      <c r="K292" s="30"/>
    </row>
    <row r="293" ht="15.75" customHeight="1" spans="9:11">
      <c r="I293" s="30"/>
      <c r="J293" s="30"/>
      <c r="K293" s="30"/>
    </row>
    <row r="294" ht="15.75" customHeight="1" spans="9:11">
      <c r="I294" s="30"/>
      <c r="J294" s="30"/>
      <c r="K294" s="30"/>
    </row>
    <row r="295" ht="15.75" customHeight="1" spans="9:11">
      <c r="I295" s="30"/>
      <c r="J295" s="30"/>
      <c r="K295" s="30"/>
    </row>
    <row r="296" ht="15.75" customHeight="1" spans="9:11">
      <c r="I296" s="30"/>
      <c r="J296" s="30"/>
      <c r="K296" s="30"/>
    </row>
    <row r="297" ht="15.75" customHeight="1" spans="9:11">
      <c r="I297" s="30"/>
      <c r="J297" s="30"/>
      <c r="K297" s="30"/>
    </row>
    <row r="298" ht="15.75" customHeight="1" spans="9:11">
      <c r="I298" s="30"/>
      <c r="J298" s="30"/>
      <c r="K298" s="30"/>
    </row>
    <row r="299" ht="15.75" customHeight="1" spans="9:11">
      <c r="I299" s="30"/>
      <c r="J299" s="30"/>
      <c r="K299" s="30"/>
    </row>
    <row r="300" ht="15.75" customHeight="1" spans="9:11">
      <c r="I300" s="30"/>
      <c r="J300" s="30"/>
      <c r="K300" s="30"/>
    </row>
    <row r="301" ht="15.75" customHeight="1" spans="9:11">
      <c r="I301" s="30"/>
      <c r="J301" s="30"/>
      <c r="K301" s="30"/>
    </row>
    <row r="302" ht="15.75" customHeight="1" spans="9:11">
      <c r="I302" s="30"/>
      <c r="J302" s="30"/>
      <c r="K302" s="30"/>
    </row>
    <row r="303" ht="15.75" customHeight="1" spans="9:11">
      <c r="I303" s="30"/>
      <c r="J303" s="30"/>
      <c r="K303" s="30"/>
    </row>
    <row r="304" ht="15.75" customHeight="1" spans="9:11">
      <c r="I304" s="30"/>
      <c r="J304" s="30"/>
      <c r="K304" s="30"/>
    </row>
    <row r="305" ht="15.75" customHeight="1" spans="9:11">
      <c r="I305" s="30"/>
      <c r="J305" s="30"/>
      <c r="K305" s="30"/>
    </row>
    <row r="306" ht="15.75" customHeight="1" spans="9:11">
      <c r="I306" s="30"/>
      <c r="J306" s="30"/>
      <c r="K306" s="30"/>
    </row>
    <row r="307" ht="15.75" customHeight="1" spans="9:11">
      <c r="I307" s="30"/>
      <c r="J307" s="30"/>
      <c r="K307" s="30"/>
    </row>
    <row r="308" ht="15.75" customHeight="1" spans="9:11">
      <c r="I308" s="30"/>
      <c r="J308" s="30"/>
      <c r="K308" s="30"/>
    </row>
    <row r="309" ht="15.75" customHeight="1" spans="9:11">
      <c r="I309" s="30"/>
      <c r="J309" s="30"/>
      <c r="K309" s="30"/>
    </row>
    <row r="310" ht="15.75" customHeight="1" spans="9:11">
      <c r="I310" s="30"/>
      <c r="J310" s="30"/>
      <c r="K310" s="30"/>
    </row>
    <row r="311" ht="15.75" customHeight="1" spans="9:11">
      <c r="I311" s="30"/>
      <c r="J311" s="30"/>
      <c r="K311" s="30"/>
    </row>
    <row r="312" ht="15.75" customHeight="1" spans="9:11">
      <c r="I312" s="30"/>
      <c r="J312" s="30"/>
      <c r="K312" s="30"/>
    </row>
    <row r="313" ht="15.75" customHeight="1" spans="9:11">
      <c r="I313" s="30"/>
      <c r="J313" s="30"/>
      <c r="K313" s="30"/>
    </row>
    <row r="314" ht="15.75" customHeight="1" spans="9:11">
      <c r="I314" s="30"/>
      <c r="J314" s="30"/>
      <c r="K314" s="30"/>
    </row>
    <row r="315" ht="15.75" customHeight="1" spans="9:11">
      <c r="I315" s="30"/>
      <c r="J315" s="30"/>
      <c r="K315" s="30"/>
    </row>
    <row r="316" ht="15.75" customHeight="1" spans="9:11">
      <c r="I316" s="30"/>
      <c r="J316" s="30"/>
      <c r="K316" s="30"/>
    </row>
    <row r="317" ht="15.75" customHeight="1" spans="9:11">
      <c r="I317" s="30"/>
      <c r="J317" s="30"/>
      <c r="K317" s="30"/>
    </row>
    <row r="318" ht="15.75" customHeight="1" spans="9:11">
      <c r="I318" s="30"/>
      <c r="J318" s="30"/>
      <c r="K318" s="30"/>
    </row>
    <row r="319" ht="15.75" customHeight="1" spans="9:11">
      <c r="I319" s="30"/>
      <c r="J319" s="30"/>
      <c r="K319" s="30"/>
    </row>
    <row r="320" ht="15.75" customHeight="1" spans="9:11">
      <c r="I320" s="30"/>
      <c r="J320" s="30"/>
      <c r="K320" s="30"/>
    </row>
    <row r="321" ht="15.75" customHeight="1" spans="9:11">
      <c r="I321" s="30"/>
      <c r="J321" s="30"/>
      <c r="K321" s="30"/>
    </row>
    <row r="322" ht="15.75" customHeight="1" spans="9:11">
      <c r="I322" s="30"/>
      <c r="J322" s="30"/>
      <c r="K322" s="30"/>
    </row>
    <row r="323" ht="15.75" customHeight="1" spans="9:11">
      <c r="I323" s="30"/>
      <c r="J323" s="30"/>
      <c r="K323" s="30"/>
    </row>
    <row r="324" ht="15.75" customHeight="1" spans="9:11">
      <c r="I324" s="30"/>
      <c r="J324" s="30"/>
      <c r="K324" s="30"/>
    </row>
    <row r="325" ht="15.75" customHeight="1" spans="9:11">
      <c r="I325" s="30"/>
      <c r="J325" s="30"/>
      <c r="K325" s="30"/>
    </row>
    <row r="326" ht="15.75" customHeight="1" spans="9:11">
      <c r="I326" s="30"/>
      <c r="J326" s="30"/>
      <c r="K326" s="30"/>
    </row>
    <row r="327" ht="15.75" customHeight="1" spans="9:11">
      <c r="I327" s="30"/>
      <c r="J327" s="30"/>
      <c r="K327" s="30"/>
    </row>
    <row r="328" ht="15.75" customHeight="1" spans="9:11">
      <c r="I328" s="30"/>
      <c r="J328" s="30"/>
      <c r="K328" s="30"/>
    </row>
    <row r="329" ht="15.75" customHeight="1" spans="9:11">
      <c r="I329" s="30"/>
      <c r="J329" s="30"/>
      <c r="K329" s="30"/>
    </row>
    <row r="330" ht="15.75" customHeight="1" spans="9:11">
      <c r="I330" s="30"/>
      <c r="J330" s="30"/>
      <c r="K330" s="30"/>
    </row>
    <row r="331" ht="15.75" customHeight="1" spans="9:11">
      <c r="I331" s="30"/>
      <c r="J331" s="30"/>
      <c r="K331" s="30"/>
    </row>
    <row r="332" ht="15.75" customHeight="1" spans="9:11">
      <c r="I332" s="30"/>
      <c r="J332" s="30"/>
      <c r="K332" s="30"/>
    </row>
    <row r="333" ht="15.75" customHeight="1" spans="9:11">
      <c r="I333" s="30"/>
      <c r="J333" s="30"/>
      <c r="K333" s="30"/>
    </row>
    <row r="334" ht="15.75" customHeight="1" spans="9:11">
      <c r="I334" s="30"/>
      <c r="J334" s="30"/>
      <c r="K334" s="30"/>
    </row>
    <row r="335" ht="15.75" customHeight="1" spans="9:11">
      <c r="I335" s="30"/>
      <c r="J335" s="30"/>
      <c r="K335" s="30"/>
    </row>
    <row r="336" ht="15.75" customHeight="1" spans="9:11">
      <c r="I336" s="30"/>
      <c r="J336" s="30"/>
      <c r="K336" s="30"/>
    </row>
    <row r="337" ht="15.75" customHeight="1" spans="9:11">
      <c r="I337" s="30"/>
      <c r="J337" s="30"/>
      <c r="K337" s="30"/>
    </row>
    <row r="338" ht="15.75" customHeight="1" spans="9:11">
      <c r="I338" s="30"/>
      <c r="J338" s="30"/>
      <c r="K338" s="30"/>
    </row>
    <row r="339" ht="15.75" customHeight="1" spans="9:11">
      <c r="I339" s="30"/>
      <c r="J339" s="30"/>
      <c r="K339" s="30"/>
    </row>
    <row r="340" ht="15.75" customHeight="1" spans="9:11">
      <c r="I340" s="30"/>
      <c r="J340" s="30"/>
      <c r="K340" s="30"/>
    </row>
    <row r="341" ht="15.75" customHeight="1" spans="9:11">
      <c r="I341" s="30"/>
      <c r="J341" s="30"/>
      <c r="K341" s="30"/>
    </row>
    <row r="342" ht="15.75" customHeight="1" spans="9:11">
      <c r="I342" s="30"/>
      <c r="J342" s="30"/>
      <c r="K342" s="30"/>
    </row>
    <row r="343" ht="15.75" customHeight="1" spans="9:11">
      <c r="I343" s="30"/>
      <c r="J343" s="30"/>
      <c r="K343" s="30"/>
    </row>
    <row r="344" ht="15.75" customHeight="1" spans="9:11">
      <c r="I344" s="30"/>
      <c r="J344" s="30"/>
      <c r="K344" s="30"/>
    </row>
    <row r="345" ht="15.75" customHeight="1" spans="9:11">
      <c r="I345" s="30"/>
      <c r="J345" s="30"/>
      <c r="K345" s="30"/>
    </row>
    <row r="346" ht="15.75" customHeight="1" spans="9:11">
      <c r="I346" s="30"/>
      <c r="J346" s="30"/>
      <c r="K346" s="30"/>
    </row>
    <row r="347" ht="15.75" customHeight="1" spans="9:11">
      <c r="I347" s="30"/>
      <c r="J347" s="30"/>
      <c r="K347" s="30"/>
    </row>
    <row r="348" ht="15.75" customHeight="1" spans="9:11">
      <c r="I348" s="30"/>
      <c r="J348" s="30"/>
      <c r="K348" s="30"/>
    </row>
    <row r="349" ht="15.75" customHeight="1" spans="9:11">
      <c r="I349" s="30"/>
      <c r="J349" s="30"/>
      <c r="K349" s="30"/>
    </row>
    <row r="350" ht="15.75" customHeight="1" spans="9:11">
      <c r="I350" s="30"/>
      <c r="J350" s="30"/>
      <c r="K350" s="30"/>
    </row>
    <row r="351" ht="15.75" customHeight="1" spans="9:11">
      <c r="I351" s="30"/>
      <c r="J351" s="30"/>
      <c r="K351" s="30"/>
    </row>
    <row r="352" ht="15.75" customHeight="1" spans="9:11">
      <c r="I352" s="30"/>
      <c r="J352" s="30"/>
      <c r="K352" s="30"/>
    </row>
    <row r="353" ht="15.75" customHeight="1" spans="9:11">
      <c r="I353" s="30"/>
      <c r="J353" s="30"/>
      <c r="K353" s="30"/>
    </row>
    <row r="354" ht="15.75" customHeight="1" spans="9:11">
      <c r="I354" s="30"/>
      <c r="J354" s="30"/>
      <c r="K354" s="30"/>
    </row>
    <row r="355" ht="15.75" customHeight="1" spans="9:11">
      <c r="I355" s="30"/>
      <c r="J355" s="30"/>
      <c r="K355" s="30"/>
    </row>
    <row r="356" ht="15.75" customHeight="1" spans="9:11">
      <c r="I356" s="30"/>
      <c r="J356" s="30"/>
      <c r="K356" s="30"/>
    </row>
    <row r="357" ht="15.75" customHeight="1" spans="9:11">
      <c r="I357" s="30"/>
      <c r="J357" s="30"/>
      <c r="K357" s="30"/>
    </row>
    <row r="358" ht="15.75" customHeight="1" spans="9:11">
      <c r="I358" s="30"/>
      <c r="J358" s="30"/>
      <c r="K358" s="30"/>
    </row>
    <row r="359" ht="15.75" customHeight="1" spans="9:11">
      <c r="I359" s="30"/>
      <c r="J359" s="30"/>
      <c r="K359" s="30"/>
    </row>
    <row r="360" ht="15.75" customHeight="1" spans="9:11">
      <c r="I360" s="30"/>
      <c r="J360" s="30"/>
      <c r="K360" s="30"/>
    </row>
    <row r="361" ht="15.75" customHeight="1" spans="9:11">
      <c r="I361" s="30"/>
      <c r="J361" s="30"/>
      <c r="K361" s="30"/>
    </row>
    <row r="362" ht="15.75" customHeight="1" spans="9:11">
      <c r="I362" s="30"/>
      <c r="J362" s="30"/>
      <c r="K362" s="30"/>
    </row>
    <row r="363" ht="15.75" customHeight="1" spans="9:11">
      <c r="I363" s="30"/>
      <c r="J363" s="30"/>
      <c r="K363" s="30"/>
    </row>
    <row r="364" ht="15.75" customHeight="1" spans="9:11">
      <c r="I364" s="30"/>
      <c r="J364" s="30"/>
      <c r="K364" s="30"/>
    </row>
    <row r="365" ht="15.75" customHeight="1" spans="9:11">
      <c r="I365" s="30"/>
      <c r="J365" s="30"/>
      <c r="K365" s="30"/>
    </row>
    <row r="366" ht="15.75" customHeight="1" spans="9:11">
      <c r="I366" s="30"/>
      <c r="J366" s="30"/>
      <c r="K366" s="30"/>
    </row>
    <row r="367" ht="15.75" customHeight="1" spans="9:11">
      <c r="I367" s="30"/>
      <c r="J367" s="30"/>
      <c r="K367" s="30"/>
    </row>
    <row r="368" ht="15.75" customHeight="1" spans="9:11">
      <c r="I368" s="30"/>
      <c r="J368" s="30"/>
      <c r="K368" s="30"/>
    </row>
    <row r="369" ht="15.75" customHeight="1" spans="9:11">
      <c r="I369" s="30"/>
      <c r="J369" s="30"/>
      <c r="K369" s="30"/>
    </row>
    <row r="370" ht="15.75" customHeight="1" spans="9:11">
      <c r="I370" s="30"/>
      <c r="J370" s="30"/>
      <c r="K370" s="30"/>
    </row>
    <row r="371" ht="15.75" customHeight="1" spans="9:11">
      <c r="I371" s="30"/>
      <c r="J371" s="30"/>
      <c r="K371" s="30"/>
    </row>
    <row r="372" ht="15.75" customHeight="1" spans="9:11">
      <c r="I372" s="30"/>
      <c r="J372" s="30"/>
      <c r="K372" s="30"/>
    </row>
    <row r="373" ht="15.75" customHeight="1" spans="9:11">
      <c r="I373" s="30"/>
      <c r="J373" s="30"/>
      <c r="K373" s="30"/>
    </row>
    <row r="374" ht="15.75" customHeight="1" spans="9:11">
      <c r="I374" s="30"/>
      <c r="J374" s="30"/>
      <c r="K374" s="30"/>
    </row>
    <row r="375" ht="15.75" customHeight="1" spans="9:11">
      <c r="I375" s="30"/>
      <c r="J375" s="30"/>
      <c r="K375" s="30"/>
    </row>
    <row r="376" ht="15.75" customHeight="1" spans="9:11">
      <c r="I376" s="30"/>
      <c r="J376" s="30"/>
      <c r="K376" s="30"/>
    </row>
    <row r="377" ht="15.75" customHeight="1" spans="9:11">
      <c r="I377" s="30"/>
      <c r="J377" s="30"/>
      <c r="K377" s="30"/>
    </row>
    <row r="378" ht="15.75" customHeight="1" spans="9:11">
      <c r="I378" s="30"/>
      <c r="J378" s="30"/>
      <c r="K378" s="30"/>
    </row>
    <row r="379" ht="15.75" customHeight="1" spans="9:11">
      <c r="I379" s="30"/>
      <c r="J379" s="30"/>
      <c r="K379" s="30"/>
    </row>
    <row r="380" ht="15.75" customHeight="1" spans="9:11">
      <c r="I380" s="30"/>
      <c r="J380" s="30"/>
      <c r="K380" s="30"/>
    </row>
    <row r="381" ht="15.75" customHeight="1" spans="9:11">
      <c r="I381" s="30"/>
      <c r="J381" s="30"/>
      <c r="K381" s="30"/>
    </row>
    <row r="382" ht="15.75" customHeight="1" spans="9:11">
      <c r="I382" s="30"/>
      <c r="J382" s="30"/>
      <c r="K382" s="30"/>
    </row>
    <row r="383" ht="15.75" customHeight="1" spans="9:11">
      <c r="I383" s="30"/>
      <c r="J383" s="30"/>
      <c r="K383" s="30"/>
    </row>
    <row r="384" ht="15.75" customHeight="1" spans="9:11">
      <c r="I384" s="30"/>
      <c r="J384" s="30"/>
      <c r="K384" s="30"/>
    </row>
    <row r="385" ht="15.75" customHeight="1" spans="9:11">
      <c r="I385" s="30"/>
      <c r="J385" s="30"/>
      <c r="K385" s="30"/>
    </row>
    <row r="386" ht="15.75" customHeight="1" spans="9:11">
      <c r="I386" s="30"/>
      <c r="J386" s="30"/>
      <c r="K386" s="30"/>
    </row>
    <row r="387" ht="15.75" customHeight="1" spans="9:11">
      <c r="I387" s="30"/>
      <c r="J387" s="30"/>
      <c r="K387" s="30"/>
    </row>
    <row r="388" ht="15.75" customHeight="1" spans="9:11">
      <c r="I388" s="30"/>
      <c r="J388" s="30"/>
      <c r="K388" s="30"/>
    </row>
    <row r="389" ht="15.75" customHeight="1" spans="9:11">
      <c r="I389" s="30"/>
      <c r="J389" s="30"/>
      <c r="K389" s="30"/>
    </row>
    <row r="390" ht="15.75" customHeight="1" spans="9:11">
      <c r="I390" s="30"/>
      <c r="J390" s="30"/>
      <c r="K390" s="30"/>
    </row>
    <row r="391" ht="15.75" customHeight="1" spans="9:11">
      <c r="I391" s="30"/>
      <c r="J391" s="30"/>
      <c r="K391" s="30"/>
    </row>
    <row r="392" ht="15.75" customHeight="1" spans="9:11">
      <c r="I392" s="30"/>
      <c r="J392" s="30"/>
      <c r="K392" s="30"/>
    </row>
    <row r="393" ht="15.75" customHeight="1" spans="9:11">
      <c r="I393" s="30"/>
      <c r="J393" s="30"/>
      <c r="K393" s="30"/>
    </row>
    <row r="394" ht="15.75" customHeight="1" spans="9:11">
      <c r="I394" s="30"/>
      <c r="J394" s="30"/>
      <c r="K394" s="30"/>
    </row>
    <row r="395" ht="15.75" customHeight="1" spans="9:11">
      <c r="I395" s="30"/>
      <c r="J395" s="30"/>
      <c r="K395" s="30"/>
    </row>
    <row r="396" ht="15.75" customHeight="1" spans="9:11">
      <c r="I396" s="30"/>
      <c r="J396" s="30"/>
      <c r="K396" s="30"/>
    </row>
    <row r="397" ht="15.75" customHeight="1" spans="9:11">
      <c r="I397" s="30"/>
      <c r="J397" s="30"/>
      <c r="K397" s="30"/>
    </row>
    <row r="398" ht="15.75" customHeight="1" spans="9:11">
      <c r="I398" s="30"/>
      <c r="J398" s="30"/>
      <c r="K398" s="30"/>
    </row>
    <row r="399" ht="15.75" customHeight="1" spans="9:11">
      <c r="I399" s="30"/>
      <c r="J399" s="30"/>
      <c r="K399" s="30"/>
    </row>
    <row r="400" ht="15.75" customHeight="1" spans="9:11">
      <c r="I400" s="30"/>
      <c r="J400" s="30"/>
      <c r="K400" s="30"/>
    </row>
    <row r="401" ht="15.75" customHeight="1" spans="9:11">
      <c r="I401" s="30"/>
      <c r="J401" s="30"/>
      <c r="K401" s="30"/>
    </row>
    <row r="402" ht="15.75" customHeight="1" spans="9:11">
      <c r="I402" s="30"/>
      <c r="J402" s="30"/>
      <c r="K402" s="30"/>
    </row>
    <row r="403" ht="15.75" customHeight="1" spans="9:11">
      <c r="I403" s="30"/>
      <c r="J403" s="30"/>
      <c r="K403" s="30"/>
    </row>
    <row r="404" ht="15.75" customHeight="1" spans="9:11">
      <c r="I404" s="30"/>
      <c r="J404" s="30"/>
      <c r="K404" s="30"/>
    </row>
    <row r="405" ht="15.75" customHeight="1" spans="9:11">
      <c r="I405" s="30"/>
      <c r="J405" s="30"/>
      <c r="K405" s="30"/>
    </row>
    <row r="406" ht="15.75" customHeight="1" spans="9:11">
      <c r="I406" s="30"/>
      <c r="J406" s="30"/>
      <c r="K406" s="30"/>
    </row>
    <row r="407" ht="15.75" customHeight="1" spans="9:11">
      <c r="I407" s="30"/>
      <c r="J407" s="30"/>
      <c r="K407" s="30"/>
    </row>
    <row r="408" ht="15.75" customHeight="1" spans="9:11">
      <c r="I408" s="30"/>
      <c r="J408" s="30"/>
      <c r="K408" s="30"/>
    </row>
    <row r="409" ht="15.75" customHeight="1" spans="9:11">
      <c r="I409" s="30"/>
      <c r="J409" s="30"/>
      <c r="K409" s="30"/>
    </row>
    <row r="410" ht="15.75" customHeight="1" spans="9:11">
      <c r="I410" s="30"/>
      <c r="J410" s="30"/>
      <c r="K410" s="30"/>
    </row>
    <row r="411" ht="15.75" customHeight="1" spans="9:11">
      <c r="I411" s="30"/>
      <c r="J411" s="30"/>
      <c r="K411" s="30"/>
    </row>
    <row r="412" ht="15.75" customHeight="1" spans="9:11">
      <c r="I412" s="30"/>
      <c r="J412" s="30"/>
      <c r="K412" s="30"/>
    </row>
    <row r="413" ht="15.75" customHeight="1" spans="9:11">
      <c r="I413" s="30"/>
      <c r="J413" s="30"/>
      <c r="K413" s="30"/>
    </row>
    <row r="414" ht="15.75" customHeight="1" spans="9:11">
      <c r="I414" s="30"/>
      <c r="J414" s="30"/>
      <c r="K414" s="30"/>
    </row>
    <row r="415" ht="15.75" customHeight="1" spans="9:11">
      <c r="I415" s="30"/>
      <c r="J415" s="30"/>
      <c r="K415" s="30"/>
    </row>
    <row r="416" ht="15.75" customHeight="1" spans="9:11">
      <c r="I416" s="30"/>
      <c r="J416" s="30"/>
      <c r="K416" s="30"/>
    </row>
    <row r="417" ht="15.75" customHeight="1" spans="9:11">
      <c r="I417" s="30"/>
      <c r="J417" s="30"/>
      <c r="K417" s="30"/>
    </row>
    <row r="418" ht="15.75" customHeight="1" spans="9:11">
      <c r="I418" s="30"/>
      <c r="J418" s="30"/>
      <c r="K418" s="30"/>
    </row>
    <row r="419" ht="15.75" customHeight="1" spans="9:11">
      <c r="I419" s="30"/>
      <c r="J419" s="30"/>
      <c r="K419" s="30"/>
    </row>
    <row r="420" ht="15.75" customHeight="1" spans="9:11">
      <c r="I420" s="30"/>
      <c r="J420" s="30"/>
      <c r="K420" s="30"/>
    </row>
    <row r="421" ht="15.75" customHeight="1" spans="9:11">
      <c r="I421" s="30"/>
      <c r="J421" s="30"/>
      <c r="K421" s="30"/>
    </row>
    <row r="422" ht="15.75" customHeight="1" spans="9:11">
      <c r="I422" s="30"/>
      <c r="J422" s="30"/>
      <c r="K422" s="30"/>
    </row>
    <row r="423" ht="15.75" customHeight="1" spans="9:11">
      <c r="I423" s="30"/>
      <c r="J423" s="30"/>
      <c r="K423" s="30"/>
    </row>
    <row r="424" ht="15.75" customHeight="1" spans="9:11">
      <c r="I424" s="30"/>
      <c r="J424" s="30"/>
      <c r="K424" s="30"/>
    </row>
    <row r="425" ht="15.75" customHeight="1" spans="9:11">
      <c r="I425" s="30"/>
      <c r="J425" s="30"/>
      <c r="K425" s="30"/>
    </row>
    <row r="426" ht="15.75" customHeight="1" spans="9:11">
      <c r="I426" s="30"/>
      <c r="J426" s="30"/>
      <c r="K426" s="30"/>
    </row>
    <row r="427" ht="15.75" customHeight="1" spans="9:11">
      <c r="I427" s="30"/>
      <c r="J427" s="30"/>
      <c r="K427" s="30"/>
    </row>
    <row r="428" ht="15.75" customHeight="1" spans="9:11">
      <c r="I428" s="30"/>
      <c r="J428" s="30"/>
      <c r="K428" s="30"/>
    </row>
    <row r="429" ht="15.75" customHeight="1" spans="9:11">
      <c r="I429" s="30"/>
      <c r="J429" s="30"/>
      <c r="K429" s="30"/>
    </row>
    <row r="430" ht="15.75" customHeight="1" spans="9:11">
      <c r="I430" s="30"/>
      <c r="J430" s="30"/>
      <c r="K430" s="30"/>
    </row>
    <row r="431" ht="15.75" customHeight="1" spans="9:11">
      <c r="I431" s="30"/>
      <c r="J431" s="30"/>
      <c r="K431" s="30"/>
    </row>
    <row r="432" ht="15.75" customHeight="1" spans="9:11">
      <c r="I432" s="30"/>
      <c r="J432" s="30"/>
      <c r="K432" s="30"/>
    </row>
    <row r="433" ht="15.75" customHeight="1" spans="9:11">
      <c r="I433" s="30"/>
      <c r="J433" s="30"/>
      <c r="K433" s="30"/>
    </row>
    <row r="434" ht="15.75" customHeight="1" spans="9:11">
      <c r="I434" s="30"/>
      <c r="J434" s="30"/>
      <c r="K434" s="30"/>
    </row>
    <row r="435" ht="15.75" customHeight="1" spans="9:11">
      <c r="I435" s="30"/>
      <c r="J435" s="30"/>
      <c r="K435" s="30"/>
    </row>
    <row r="436" ht="15.75" customHeight="1" spans="9:11">
      <c r="I436" s="30"/>
      <c r="J436" s="30"/>
      <c r="K436" s="30"/>
    </row>
    <row r="437" ht="15.75" customHeight="1" spans="9:11">
      <c r="I437" s="30"/>
      <c r="J437" s="30"/>
      <c r="K437" s="30"/>
    </row>
    <row r="438" ht="15.75" customHeight="1" spans="9:11">
      <c r="I438" s="30"/>
      <c r="J438" s="30"/>
      <c r="K438" s="30"/>
    </row>
    <row r="439" ht="15.75" customHeight="1" spans="9:11">
      <c r="I439" s="30"/>
      <c r="J439" s="30"/>
      <c r="K439" s="30"/>
    </row>
    <row r="440" ht="15.75" customHeight="1" spans="9:11">
      <c r="I440" s="30"/>
      <c r="J440" s="30"/>
      <c r="K440" s="30"/>
    </row>
    <row r="441" ht="15.75" customHeight="1" spans="9:11">
      <c r="I441" s="30"/>
      <c r="J441" s="30"/>
      <c r="K441" s="30"/>
    </row>
    <row r="442" ht="15.75" customHeight="1" spans="9:11">
      <c r="I442" s="30"/>
      <c r="J442" s="30"/>
      <c r="K442" s="30"/>
    </row>
    <row r="443" ht="15.75" customHeight="1" spans="9:11">
      <c r="I443" s="30"/>
      <c r="J443" s="30"/>
      <c r="K443" s="30"/>
    </row>
    <row r="444" ht="15.75" customHeight="1" spans="9:11">
      <c r="I444" s="30"/>
      <c r="J444" s="30"/>
      <c r="K444" s="30"/>
    </row>
    <row r="445" ht="15.75" customHeight="1" spans="9:11">
      <c r="I445" s="30"/>
      <c r="J445" s="30"/>
      <c r="K445" s="30"/>
    </row>
    <row r="446" ht="15.75" customHeight="1" spans="9:11">
      <c r="I446" s="30"/>
      <c r="J446" s="30"/>
      <c r="K446" s="30"/>
    </row>
    <row r="447" ht="15.75" customHeight="1" spans="9:11">
      <c r="I447" s="30"/>
      <c r="J447" s="30"/>
      <c r="K447" s="30"/>
    </row>
    <row r="448" ht="15.75" customHeight="1" spans="9:11">
      <c r="I448" s="30"/>
      <c r="J448" s="30"/>
      <c r="K448" s="30"/>
    </row>
    <row r="449" ht="15.75" customHeight="1" spans="9:11">
      <c r="I449" s="30"/>
      <c r="J449" s="30"/>
      <c r="K449" s="30"/>
    </row>
    <row r="450" ht="15.75" customHeight="1" spans="9:11">
      <c r="I450" s="30"/>
      <c r="J450" s="30"/>
      <c r="K450" s="30"/>
    </row>
    <row r="451" ht="15.75" customHeight="1" spans="9:11">
      <c r="I451" s="30"/>
      <c r="J451" s="30"/>
      <c r="K451" s="30"/>
    </row>
    <row r="452" ht="15.75" customHeight="1" spans="9:11">
      <c r="I452" s="30"/>
      <c r="J452" s="30"/>
      <c r="K452" s="30"/>
    </row>
    <row r="453" ht="15.75" customHeight="1" spans="9:11">
      <c r="I453" s="30"/>
      <c r="J453" s="30"/>
      <c r="K453" s="30"/>
    </row>
    <row r="454" ht="15.75" customHeight="1" spans="9:11">
      <c r="I454" s="30"/>
      <c r="J454" s="30"/>
      <c r="K454" s="30"/>
    </row>
    <row r="455" ht="15.75" customHeight="1" spans="9:11">
      <c r="I455" s="30"/>
      <c r="J455" s="30"/>
      <c r="K455" s="30"/>
    </row>
    <row r="456" ht="15.75" customHeight="1" spans="9:11">
      <c r="I456" s="30"/>
      <c r="J456" s="30"/>
      <c r="K456" s="30"/>
    </row>
    <row r="457" ht="15.75" customHeight="1" spans="9:11">
      <c r="I457" s="30"/>
      <c r="J457" s="30"/>
      <c r="K457" s="30"/>
    </row>
    <row r="458" ht="15.75" customHeight="1" spans="9:11">
      <c r="I458" s="30"/>
      <c r="J458" s="30"/>
      <c r="K458" s="30"/>
    </row>
    <row r="459" ht="15.75" customHeight="1" spans="9:11">
      <c r="I459" s="30"/>
      <c r="J459" s="30"/>
      <c r="K459" s="30"/>
    </row>
    <row r="460" ht="15.75" customHeight="1" spans="9:11">
      <c r="I460" s="30"/>
      <c r="J460" s="30"/>
      <c r="K460" s="30"/>
    </row>
    <row r="461" ht="15.75" customHeight="1" spans="9:11">
      <c r="I461" s="30"/>
      <c r="J461" s="30"/>
      <c r="K461" s="30"/>
    </row>
    <row r="462" ht="15.75" customHeight="1" spans="9:11">
      <c r="I462" s="30"/>
      <c r="J462" s="30"/>
      <c r="K462" s="30"/>
    </row>
    <row r="463" ht="15.75" customHeight="1" spans="9:11">
      <c r="I463" s="30"/>
      <c r="J463" s="30"/>
      <c r="K463" s="30"/>
    </row>
    <row r="464" ht="15.75" customHeight="1" spans="9:11">
      <c r="I464" s="30"/>
      <c r="J464" s="30"/>
      <c r="K464" s="30"/>
    </row>
    <row r="465" ht="15.75" customHeight="1" spans="9:11">
      <c r="I465" s="30"/>
      <c r="J465" s="30"/>
      <c r="K465" s="30"/>
    </row>
    <row r="466" ht="15.75" customHeight="1" spans="9:11">
      <c r="I466" s="30"/>
      <c r="J466" s="30"/>
      <c r="K466" s="30"/>
    </row>
    <row r="467" ht="15.75" customHeight="1" spans="9:11">
      <c r="I467" s="30"/>
      <c r="J467" s="30"/>
      <c r="K467" s="30"/>
    </row>
    <row r="468" ht="15.75" customHeight="1" spans="9:11">
      <c r="I468" s="30"/>
      <c r="J468" s="30"/>
      <c r="K468" s="30"/>
    </row>
    <row r="469" ht="15.75" customHeight="1" spans="9:11">
      <c r="I469" s="30"/>
      <c r="J469" s="30"/>
      <c r="K469" s="30"/>
    </row>
    <row r="470" ht="15.75" customHeight="1" spans="9:11">
      <c r="I470" s="30"/>
      <c r="J470" s="30"/>
      <c r="K470" s="30"/>
    </row>
    <row r="471" ht="15.75" customHeight="1" spans="9:11">
      <c r="I471" s="30"/>
      <c r="J471" s="30"/>
      <c r="K471" s="30"/>
    </row>
    <row r="472" ht="15.75" customHeight="1" spans="9:11">
      <c r="I472" s="30"/>
      <c r="J472" s="30"/>
      <c r="K472" s="30"/>
    </row>
    <row r="473" ht="15.75" customHeight="1" spans="9:11">
      <c r="I473" s="30"/>
      <c r="J473" s="30"/>
      <c r="K473" s="30"/>
    </row>
    <row r="474" ht="15.75" customHeight="1" spans="9:11">
      <c r="I474" s="30"/>
      <c r="J474" s="30"/>
      <c r="K474" s="30"/>
    </row>
    <row r="475" ht="15.75" customHeight="1" spans="9:11">
      <c r="I475" s="30"/>
      <c r="J475" s="30"/>
      <c r="K475" s="30"/>
    </row>
    <row r="476" ht="15.75" customHeight="1" spans="9:11">
      <c r="I476" s="30"/>
      <c r="J476" s="30"/>
      <c r="K476" s="30"/>
    </row>
    <row r="477" ht="15.75" customHeight="1" spans="9:11">
      <c r="I477" s="30"/>
      <c r="J477" s="30"/>
      <c r="K477" s="30"/>
    </row>
    <row r="478" ht="15.75" customHeight="1" spans="9:11">
      <c r="I478" s="30"/>
      <c r="J478" s="30"/>
      <c r="K478" s="30"/>
    </row>
    <row r="479" ht="15.75" customHeight="1" spans="9:11">
      <c r="I479" s="30"/>
      <c r="J479" s="30"/>
      <c r="K479" s="30"/>
    </row>
    <row r="480" ht="15.75" customHeight="1" spans="9:11">
      <c r="I480" s="30"/>
      <c r="J480" s="30"/>
      <c r="K480" s="30"/>
    </row>
    <row r="481" ht="15.75" customHeight="1" spans="9:11">
      <c r="I481" s="30"/>
      <c r="J481" s="30"/>
      <c r="K481" s="30"/>
    </row>
    <row r="482" ht="15.75" customHeight="1" spans="9:11">
      <c r="I482" s="30"/>
      <c r="J482" s="30"/>
      <c r="K482" s="30"/>
    </row>
    <row r="483" ht="15.75" customHeight="1" spans="9:11">
      <c r="I483" s="30"/>
      <c r="J483" s="30"/>
      <c r="K483" s="30"/>
    </row>
    <row r="484" ht="15.75" customHeight="1" spans="9:11">
      <c r="I484" s="30"/>
      <c r="J484" s="30"/>
      <c r="K484" s="30"/>
    </row>
    <row r="485" ht="15.75" customHeight="1" spans="9:11">
      <c r="I485" s="30"/>
      <c r="J485" s="30"/>
      <c r="K485" s="30"/>
    </row>
    <row r="486" ht="15.75" customHeight="1" spans="9:11">
      <c r="I486" s="30"/>
      <c r="J486" s="30"/>
      <c r="K486" s="30"/>
    </row>
    <row r="487" ht="15.75" customHeight="1" spans="9:11">
      <c r="I487" s="30"/>
      <c r="J487" s="30"/>
      <c r="K487" s="30"/>
    </row>
    <row r="488" ht="15.75" customHeight="1" spans="9:11">
      <c r="I488" s="30"/>
      <c r="J488" s="30"/>
      <c r="K488" s="30"/>
    </row>
    <row r="489" ht="15.75" customHeight="1" spans="9:11">
      <c r="I489" s="30"/>
      <c r="J489" s="30"/>
      <c r="K489" s="30"/>
    </row>
    <row r="490" ht="15.75" customHeight="1" spans="9:11">
      <c r="I490" s="30"/>
      <c r="J490" s="30"/>
      <c r="K490" s="30"/>
    </row>
    <row r="491" ht="15.75" customHeight="1" spans="9:11">
      <c r="I491" s="30"/>
      <c r="J491" s="30"/>
      <c r="K491" s="30"/>
    </row>
    <row r="492" ht="15.75" customHeight="1" spans="9:11">
      <c r="I492" s="30"/>
      <c r="J492" s="30"/>
      <c r="K492" s="30"/>
    </row>
    <row r="493" ht="15.75" customHeight="1" spans="9:11">
      <c r="I493" s="30"/>
      <c r="J493" s="30"/>
      <c r="K493" s="30"/>
    </row>
    <row r="494" ht="15.75" customHeight="1" spans="9:11">
      <c r="I494" s="30"/>
      <c r="J494" s="30"/>
      <c r="K494" s="30"/>
    </row>
    <row r="495" ht="15.75" customHeight="1" spans="9:11">
      <c r="I495" s="30"/>
      <c r="J495" s="30"/>
      <c r="K495" s="30"/>
    </row>
    <row r="496" ht="15.75" customHeight="1" spans="9:11">
      <c r="I496" s="30"/>
      <c r="J496" s="30"/>
      <c r="K496" s="30"/>
    </row>
    <row r="497" ht="15.75" customHeight="1" spans="9:11">
      <c r="I497" s="30"/>
      <c r="J497" s="30"/>
      <c r="K497" s="30"/>
    </row>
    <row r="498" ht="15.75" customHeight="1" spans="9:11">
      <c r="I498" s="30"/>
      <c r="J498" s="30"/>
      <c r="K498" s="30"/>
    </row>
    <row r="499" ht="15.75" customHeight="1" spans="9:11">
      <c r="I499" s="30"/>
      <c r="J499" s="30"/>
      <c r="K499" s="30"/>
    </row>
    <row r="500" ht="15.75" customHeight="1" spans="9:11">
      <c r="I500" s="30"/>
      <c r="J500" s="30"/>
      <c r="K500" s="30"/>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M29" etc:filterBottomFollowUsedRange="0">
    <extLst/>
  </autoFilter>
  <conditionalFormatting sqref="I2:I1000">
    <cfRule type="cellIs" dxfId="0" priority="1" operator="equal">
      <formula>"Pass"</formula>
    </cfRule>
    <cfRule type="cellIs" dxfId="1" priority="2" operator="equal">
      <formula>"Fail"</formula>
    </cfRule>
  </conditionalFormatting>
  <conditionalFormatting sqref="K2:K1000">
    <cfRule type="cellIs" dxfId="2" priority="3" operator="equal">
      <formula>"Critical"</formula>
    </cfRule>
    <cfRule type="cellIs" dxfId="3" priority="4" operator="equal">
      <formula>"High"</formula>
    </cfRule>
    <cfRule type="cellIs" dxfId="4" priority="5" operator="equal">
      <formula>"Medium"</formula>
    </cfRule>
    <cfRule type="cellIs" dxfId="0" priority="6" operator="equal">
      <formula>"Low"</formula>
    </cfRule>
  </conditionalFormatting>
  <dataValidations count="3">
    <dataValidation type="list" allowBlank="1" sqref="I2:I500">
      <formula1>"Pass,Fail,Blocked,Not Executed"</formula1>
    </dataValidation>
    <dataValidation type="list" allowBlank="1" sqref="J2:J500">
      <formula1>"High,Medium,Low"</formula1>
    </dataValidation>
    <dataValidation type="list" allowBlank="1" sqref="K2:K500">
      <formula1>"Critical,High,Medium,Low,N/A"</formula1>
    </dataValidation>
  </dataValidations>
  <pageMargins left="0.75" right="0.75" top="1" bottom="1" header="0" footer="0"/>
  <pageSetup paperSize="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O1000"/>
  <sheetViews>
    <sheetView showGridLines="0"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1" width="10" customWidth="1"/>
    <col min="2" max="2" width="34" customWidth="1"/>
    <col min="3" max="3" width="20" customWidth="1"/>
    <col min="4" max="4" width="52" customWidth="1"/>
    <col min="5" max="5" width="30" customWidth="1"/>
    <col min="6" max="7" width="38" customWidth="1"/>
    <col min="8" max="9" width="10" customWidth="1"/>
    <col min="10" max="10" width="26" customWidth="1"/>
    <col min="11" max="11" width="16" customWidth="1"/>
    <col min="12" max="12" width="12" customWidth="1"/>
    <col min="13" max="13" width="15" customWidth="1"/>
    <col min="14" max="14" width="12" customWidth="1"/>
    <col min="15" max="15" width="24" customWidth="1"/>
    <col min="16" max="26" width="8.71428571428571" customWidth="1"/>
  </cols>
  <sheetData>
    <row r="1" ht="30" customHeight="1" spans="1:15">
      <c r="A1" s="15" t="s">
        <v>147</v>
      </c>
      <c r="B1" s="15" t="s">
        <v>312</v>
      </c>
      <c r="C1" s="15" t="s">
        <v>138</v>
      </c>
      <c r="D1" s="15" t="s">
        <v>313</v>
      </c>
      <c r="E1" s="15" t="s">
        <v>314</v>
      </c>
      <c r="F1" s="15" t="s">
        <v>142</v>
      </c>
      <c r="G1" s="15" t="s">
        <v>143</v>
      </c>
      <c r="H1" s="15" t="s">
        <v>145</v>
      </c>
      <c r="I1" s="15" t="s">
        <v>144</v>
      </c>
      <c r="J1" s="15" t="s">
        <v>315</v>
      </c>
      <c r="K1" s="15" t="s">
        <v>316</v>
      </c>
      <c r="L1" s="15" t="s">
        <v>10</v>
      </c>
      <c r="M1" s="15" t="s">
        <v>317</v>
      </c>
      <c r="N1" s="15" t="s">
        <v>7</v>
      </c>
      <c r="O1" s="15" t="s">
        <v>318</v>
      </c>
    </row>
    <row r="2" ht="38.25" spans="1:15">
      <c r="A2" s="23" t="s">
        <v>319</v>
      </c>
      <c r="B2" s="24" t="s">
        <v>320</v>
      </c>
      <c r="C2" s="24" t="s">
        <v>195</v>
      </c>
      <c r="D2" s="24" t="s">
        <v>321</v>
      </c>
      <c r="E2" s="24" t="s">
        <v>322</v>
      </c>
      <c r="F2" s="24" t="s">
        <v>323</v>
      </c>
      <c r="G2" s="24" t="s">
        <v>324</v>
      </c>
      <c r="H2" s="25" t="s">
        <v>173</v>
      </c>
      <c r="I2" s="25" t="s">
        <v>325</v>
      </c>
      <c r="J2" s="24" t="s">
        <v>326</v>
      </c>
      <c r="K2" s="28" t="s">
        <v>327</v>
      </c>
      <c r="L2" s="25" t="s">
        <v>328</v>
      </c>
      <c r="M2" s="24" t="s">
        <v>6</v>
      </c>
      <c r="N2" s="29">
        <v>46293</v>
      </c>
      <c r="O2" s="24" t="s">
        <v>329</v>
      </c>
    </row>
    <row r="3" ht="51" spans="1:15">
      <c r="A3" s="23" t="s">
        <v>330</v>
      </c>
      <c r="B3" s="24" t="s">
        <v>331</v>
      </c>
      <c r="C3" s="24" t="s">
        <v>221</v>
      </c>
      <c r="D3" s="24" t="s">
        <v>332</v>
      </c>
      <c r="E3" s="24" t="s">
        <v>322</v>
      </c>
      <c r="F3" s="24" t="s">
        <v>333</v>
      </c>
      <c r="G3" s="24" t="s">
        <v>334</v>
      </c>
      <c r="H3" s="25" t="s">
        <v>156</v>
      </c>
      <c r="I3" s="25" t="s">
        <v>335</v>
      </c>
      <c r="J3" s="24" t="s">
        <v>326</v>
      </c>
      <c r="K3" s="28" t="s">
        <v>327</v>
      </c>
      <c r="L3" s="25" t="s">
        <v>328</v>
      </c>
      <c r="M3" s="24" t="s">
        <v>6</v>
      </c>
      <c r="N3" s="29">
        <v>46293</v>
      </c>
      <c r="O3" s="24" t="s">
        <v>329</v>
      </c>
    </row>
    <row r="4" ht="38.25" spans="1:15">
      <c r="A4" s="23" t="s">
        <v>336</v>
      </c>
      <c r="B4" s="24" t="s">
        <v>337</v>
      </c>
      <c r="C4" s="24" t="s">
        <v>258</v>
      </c>
      <c r="D4" s="24" t="s">
        <v>338</v>
      </c>
      <c r="E4" s="24" t="s">
        <v>322</v>
      </c>
      <c r="F4" s="24" t="s">
        <v>339</v>
      </c>
      <c r="G4" s="24" t="s">
        <v>340</v>
      </c>
      <c r="H4" s="25" t="s">
        <v>341</v>
      </c>
      <c r="I4" s="25" t="s">
        <v>335</v>
      </c>
      <c r="J4" s="24" t="s">
        <v>326</v>
      </c>
      <c r="K4" s="28" t="s">
        <v>327</v>
      </c>
      <c r="L4" s="25" t="s">
        <v>328</v>
      </c>
      <c r="M4" s="24" t="s">
        <v>6</v>
      </c>
      <c r="N4" s="29">
        <v>46293</v>
      </c>
      <c r="O4" s="24" t="s">
        <v>329</v>
      </c>
    </row>
    <row r="5" ht="38.25" spans="1:15">
      <c r="A5" s="23" t="s">
        <v>342</v>
      </c>
      <c r="B5" s="24" t="s">
        <v>343</v>
      </c>
      <c r="C5" s="24" t="s">
        <v>195</v>
      </c>
      <c r="D5" s="24" t="s">
        <v>344</v>
      </c>
      <c r="E5" s="24" t="s">
        <v>322</v>
      </c>
      <c r="F5" s="24" t="s">
        <v>345</v>
      </c>
      <c r="G5" s="24" t="s">
        <v>346</v>
      </c>
      <c r="H5" s="25" t="s">
        <v>173</v>
      </c>
      <c r="I5" s="25" t="s">
        <v>347</v>
      </c>
      <c r="J5" s="24" t="s">
        <v>326</v>
      </c>
      <c r="K5" s="28" t="s">
        <v>327</v>
      </c>
      <c r="L5" s="25" t="s">
        <v>328</v>
      </c>
      <c r="M5" s="24" t="s">
        <v>6</v>
      </c>
      <c r="N5" s="29">
        <v>46293</v>
      </c>
      <c r="O5" s="24" t="s">
        <v>329</v>
      </c>
    </row>
    <row r="6" ht="76.5" spans="1:15">
      <c r="A6" s="23" t="s">
        <v>257</v>
      </c>
      <c r="B6" s="24" t="s">
        <v>348</v>
      </c>
      <c r="C6" s="24" t="s">
        <v>258</v>
      </c>
      <c r="D6" s="24" t="s">
        <v>349</v>
      </c>
      <c r="E6" s="24" t="s">
        <v>153</v>
      </c>
      <c r="F6" s="24" t="s">
        <v>350</v>
      </c>
      <c r="G6" s="24" t="s">
        <v>254</v>
      </c>
      <c r="H6" s="25" t="s">
        <v>173</v>
      </c>
      <c r="I6" s="25" t="s">
        <v>347</v>
      </c>
      <c r="J6" s="24" t="s">
        <v>326</v>
      </c>
      <c r="K6" s="28" t="s">
        <v>327</v>
      </c>
      <c r="L6" s="25" t="s">
        <v>328</v>
      </c>
      <c r="M6" s="24" t="s">
        <v>6</v>
      </c>
      <c r="N6" s="29">
        <v>46293</v>
      </c>
      <c r="O6" s="24" t="s">
        <v>248</v>
      </c>
    </row>
    <row r="7" ht="89.25" spans="1:15">
      <c r="A7" s="23" t="s">
        <v>290</v>
      </c>
      <c r="B7" s="24" t="s">
        <v>351</v>
      </c>
      <c r="C7" s="24" t="s">
        <v>258</v>
      </c>
      <c r="D7" s="24" t="s">
        <v>352</v>
      </c>
      <c r="E7" s="24" t="s">
        <v>353</v>
      </c>
      <c r="F7" s="24" t="s">
        <v>354</v>
      </c>
      <c r="G7" s="24" t="s">
        <v>288</v>
      </c>
      <c r="H7" s="25" t="s">
        <v>173</v>
      </c>
      <c r="I7" s="25" t="s">
        <v>347</v>
      </c>
      <c r="J7" s="24" t="s">
        <v>326</v>
      </c>
      <c r="K7" s="28" t="s">
        <v>327</v>
      </c>
      <c r="L7" s="25" t="s">
        <v>328</v>
      </c>
      <c r="M7" s="24" t="s">
        <v>6</v>
      </c>
      <c r="N7" s="29">
        <v>46293</v>
      </c>
      <c r="O7" s="24" t="s">
        <v>283</v>
      </c>
    </row>
    <row r="8" spans="1:15">
      <c r="H8" s="30"/>
      <c r="I8" s="30"/>
      <c r="L8" s="30"/>
    </row>
    <row r="9" spans="1:15">
      <c r="H9" s="30"/>
      <c r="I9" s="30"/>
      <c r="L9" s="30"/>
    </row>
    <row r="10" spans="1:15">
      <c r="H10" s="30"/>
      <c r="I10" s="30"/>
      <c r="L10" s="30"/>
    </row>
    <row r="11" spans="1:15">
      <c r="H11" s="30"/>
      <c r="I11" s="30"/>
      <c r="L11" s="30"/>
    </row>
    <row r="12" spans="1:15">
      <c r="H12" s="30"/>
      <c r="I12" s="30"/>
      <c r="L12" s="30"/>
    </row>
    <row r="13" spans="1:15">
      <c r="H13" s="30"/>
      <c r="I13" s="30"/>
      <c r="L13" s="30"/>
    </row>
    <row r="14" spans="1:15">
      <c r="H14" s="30"/>
      <c r="I14" s="30"/>
      <c r="L14" s="30"/>
    </row>
    <row r="15" spans="1:15">
      <c r="H15" s="30"/>
      <c r="I15" s="30"/>
      <c r="L15" s="30"/>
    </row>
    <row r="16" spans="1:15">
      <c r="H16" s="30"/>
      <c r="I16" s="30"/>
      <c r="L16" s="30"/>
    </row>
    <row r="17" spans="8:12">
      <c r="H17" s="30"/>
      <c r="I17" s="30"/>
      <c r="L17" s="30"/>
    </row>
    <row r="18" spans="8:12">
      <c r="H18" s="30"/>
      <c r="I18" s="30"/>
      <c r="L18" s="30"/>
    </row>
    <row r="19" spans="8:12">
      <c r="H19" s="30"/>
      <c r="I19" s="30"/>
      <c r="L19" s="30"/>
    </row>
    <row r="20" spans="8:12">
      <c r="H20" s="30"/>
      <c r="I20" s="30"/>
      <c r="L20" s="30"/>
    </row>
    <row r="21" ht="15.75" customHeight="1" spans="8:12">
      <c r="H21" s="30"/>
      <c r="I21" s="30"/>
      <c r="L21" s="30"/>
    </row>
    <row r="22" ht="15.75" customHeight="1" spans="8:12">
      <c r="H22" s="30"/>
      <c r="I22" s="30"/>
      <c r="L22" s="30"/>
    </row>
    <row r="23" ht="15.75" customHeight="1" spans="8:12">
      <c r="H23" s="30"/>
      <c r="I23" s="30"/>
      <c r="L23" s="30"/>
    </row>
    <row r="24" ht="15.75" customHeight="1" spans="8:12">
      <c r="H24" s="30"/>
      <c r="I24" s="30"/>
      <c r="L24" s="30"/>
    </row>
    <row r="25" ht="15.75" customHeight="1" spans="8:12">
      <c r="H25" s="30"/>
      <c r="I25" s="30"/>
      <c r="L25" s="30"/>
    </row>
    <row r="26" ht="15.75" customHeight="1" spans="8:12">
      <c r="H26" s="30"/>
      <c r="I26" s="30"/>
      <c r="L26" s="30"/>
    </row>
    <row r="27" ht="15.75" customHeight="1" spans="8:12">
      <c r="H27" s="30"/>
      <c r="I27" s="30"/>
      <c r="L27" s="30"/>
    </row>
    <row r="28" ht="15.75" customHeight="1" spans="8:12">
      <c r="H28" s="30"/>
      <c r="I28" s="30"/>
      <c r="L28" s="30"/>
    </row>
    <row r="29" ht="15.75" customHeight="1" spans="8:12">
      <c r="H29" s="30"/>
      <c r="I29" s="30"/>
      <c r="L29" s="30"/>
    </row>
    <row r="30" ht="15.75" customHeight="1" spans="8:12">
      <c r="H30" s="30"/>
      <c r="I30" s="30"/>
      <c r="L30" s="30"/>
    </row>
    <row r="31" ht="15.75" customHeight="1" spans="8:12">
      <c r="H31" s="30"/>
      <c r="I31" s="30"/>
      <c r="L31" s="30"/>
    </row>
    <row r="32" ht="15.75" customHeight="1" spans="8:12">
      <c r="H32" s="30"/>
      <c r="I32" s="30"/>
      <c r="L32" s="30"/>
    </row>
    <row r="33" ht="15.75" customHeight="1" spans="8:12">
      <c r="H33" s="30"/>
      <c r="I33" s="30"/>
      <c r="L33" s="30"/>
    </row>
    <row r="34" ht="15.75" customHeight="1" spans="8:12">
      <c r="H34" s="30"/>
      <c r="I34" s="30"/>
      <c r="L34" s="30"/>
    </row>
    <row r="35" ht="15.75" customHeight="1" spans="8:12">
      <c r="H35" s="30"/>
      <c r="I35" s="30"/>
      <c r="L35" s="30"/>
    </row>
    <row r="36" ht="15.75" customHeight="1" spans="8:12">
      <c r="H36" s="30"/>
      <c r="I36" s="30"/>
      <c r="L36" s="30"/>
    </row>
    <row r="37" ht="15.75" customHeight="1" spans="8:12">
      <c r="H37" s="30"/>
      <c r="I37" s="30"/>
      <c r="L37" s="30"/>
    </row>
    <row r="38" ht="15.75" customHeight="1" spans="8:12">
      <c r="H38" s="30"/>
      <c r="I38" s="30"/>
      <c r="L38" s="30"/>
    </row>
    <row r="39" ht="15.75" customHeight="1" spans="8:12">
      <c r="H39" s="30"/>
      <c r="I39" s="30"/>
      <c r="L39" s="30"/>
    </row>
    <row r="40" ht="15.75" customHeight="1" spans="8:12">
      <c r="H40" s="30"/>
      <c r="I40" s="30"/>
      <c r="L40" s="30"/>
    </row>
    <row r="41" ht="15.75" customHeight="1" spans="8:12">
      <c r="H41" s="30"/>
      <c r="I41" s="30"/>
      <c r="L41" s="30"/>
    </row>
    <row r="42" ht="15.75" customHeight="1" spans="8:12">
      <c r="H42" s="30"/>
      <c r="I42" s="30"/>
      <c r="L42" s="30"/>
    </row>
    <row r="43" ht="15.75" customHeight="1" spans="8:12">
      <c r="H43" s="30"/>
      <c r="I43" s="30"/>
      <c r="L43" s="30"/>
    </row>
    <row r="44" ht="15.75" customHeight="1" spans="8:12">
      <c r="H44" s="30"/>
      <c r="I44" s="30"/>
      <c r="L44" s="30"/>
    </row>
    <row r="45" ht="15.75" customHeight="1" spans="8:12">
      <c r="H45" s="30"/>
      <c r="I45" s="30"/>
      <c r="L45" s="30"/>
    </row>
    <row r="46" ht="15.75" customHeight="1" spans="8:12">
      <c r="H46" s="30"/>
      <c r="I46" s="30"/>
      <c r="L46" s="30"/>
    </row>
    <row r="47" ht="15.75" customHeight="1" spans="8:12">
      <c r="H47" s="30"/>
      <c r="I47" s="30"/>
      <c r="L47" s="30"/>
    </row>
    <row r="48" ht="15.75" customHeight="1" spans="8:12">
      <c r="H48" s="30"/>
      <c r="I48" s="30"/>
      <c r="L48" s="30"/>
    </row>
    <row r="49" ht="15.75" customHeight="1" spans="8:12">
      <c r="H49" s="30"/>
      <c r="I49" s="30"/>
      <c r="L49" s="30"/>
    </row>
    <row r="50" ht="15.75" customHeight="1" spans="8:12">
      <c r="H50" s="30"/>
      <c r="I50" s="30"/>
      <c r="L50" s="30"/>
    </row>
    <row r="51" ht="15.75" customHeight="1" spans="8:12">
      <c r="H51" s="30"/>
      <c r="I51" s="30"/>
      <c r="L51" s="30"/>
    </row>
    <row r="52" ht="15.75" customHeight="1" spans="8:12">
      <c r="H52" s="30"/>
      <c r="I52" s="30"/>
      <c r="L52" s="30"/>
    </row>
    <row r="53" ht="15.75" customHeight="1" spans="8:12">
      <c r="H53" s="30"/>
      <c r="I53" s="30"/>
      <c r="L53" s="30"/>
    </row>
    <row r="54" ht="15.75" customHeight="1" spans="8:12">
      <c r="H54" s="30"/>
      <c r="I54" s="30"/>
      <c r="L54" s="30"/>
    </row>
    <row r="55" ht="15.75" customHeight="1" spans="8:12">
      <c r="H55" s="30"/>
      <c r="I55" s="30"/>
      <c r="L55" s="30"/>
    </row>
    <row r="56" ht="15.75" customHeight="1" spans="8:12">
      <c r="H56" s="30"/>
      <c r="I56" s="30"/>
      <c r="L56" s="30"/>
    </row>
    <row r="57" ht="15.75" customHeight="1" spans="8:12">
      <c r="H57" s="30"/>
      <c r="I57" s="30"/>
      <c r="L57" s="30"/>
    </row>
    <row r="58" ht="15.75" customHeight="1" spans="8:12">
      <c r="H58" s="30"/>
      <c r="I58" s="30"/>
      <c r="L58" s="30"/>
    </row>
    <row r="59" ht="15.75" customHeight="1" spans="8:12">
      <c r="H59" s="30"/>
      <c r="I59" s="30"/>
      <c r="L59" s="30"/>
    </row>
    <row r="60" ht="15.75" customHeight="1" spans="8:12">
      <c r="H60" s="30"/>
      <c r="I60" s="30"/>
      <c r="L60" s="30"/>
    </row>
    <row r="61" ht="15.75" customHeight="1" spans="8:12">
      <c r="H61" s="30"/>
      <c r="I61" s="30"/>
      <c r="L61" s="30"/>
    </row>
    <row r="62" ht="15.75" customHeight="1" spans="8:12">
      <c r="H62" s="30"/>
      <c r="I62" s="30"/>
      <c r="L62" s="30"/>
    </row>
    <row r="63" ht="15.75" customHeight="1" spans="8:12">
      <c r="H63" s="30"/>
      <c r="I63" s="30"/>
      <c r="L63" s="30"/>
    </row>
    <row r="64" ht="15.75" customHeight="1" spans="8:12">
      <c r="H64" s="30"/>
      <c r="I64" s="30"/>
      <c r="L64" s="30"/>
    </row>
    <row r="65" ht="15.75" customHeight="1" spans="8:12">
      <c r="H65" s="30"/>
      <c r="I65" s="30"/>
      <c r="L65" s="30"/>
    </row>
    <row r="66" ht="15.75" customHeight="1" spans="8:12">
      <c r="H66" s="30"/>
      <c r="I66" s="30"/>
      <c r="L66" s="30"/>
    </row>
    <row r="67" ht="15.75" customHeight="1" spans="8:12">
      <c r="H67" s="30"/>
      <c r="I67" s="30"/>
      <c r="L67" s="30"/>
    </row>
    <row r="68" ht="15.75" customHeight="1" spans="8:12">
      <c r="H68" s="30"/>
      <c r="I68" s="30"/>
      <c r="L68" s="30"/>
    </row>
    <row r="69" ht="15.75" customHeight="1" spans="8:12">
      <c r="H69" s="30"/>
      <c r="I69" s="30"/>
      <c r="L69" s="30"/>
    </row>
    <row r="70" ht="15.75" customHeight="1" spans="8:12">
      <c r="H70" s="30"/>
      <c r="I70" s="30"/>
      <c r="L70" s="30"/>
    </row>
    <row r="71" ht="15.75" customHeight="1" spans="8:12">
      <c r="H71" s="30"/>
      <c r="I71" s="30"/>
      <c r="L71" s="30"/>
    </row>
    <row r="72" ht="15.75" customHeight="1" spans="8:12">
      <c r="H72" s="30"/>
      <c r="I72" s="30"/>
      <c r="L72" s="30"/>
    </row>
    <row r="73" ht="15.75" customHeight="1" spans="8:12">
      <c r="H73" s="30"/>
      <c r="I73" s="30"/>
      <c r="L73" s="30"/>
    </row>
    <row r="74" ht="15.75" customHeight="1" spans="8:12">
      <c r="H74" s="30"/>
      <c r="I74" s="30"/>
      <c r="L74" s="30"/>
    </row>
    <row r="75" ht="15.75" customHeight="1" spans="8:12">
      <c r="H75" s="30"/>
      <c r="I75" s="30"/>
      <c r="L75" s="30"/>
    </row>
    <row r="76" ht="15.75" customHeight="1" spans="8:12">
      <c r="H76" s="30"/>
      <c r="I76" s="30"/>
      <c r="L76" s="30"/>
    </row>
    <row r="77" ht="15.75" customHeight="1" spans="8:12">
      <c r="H77" s="30"/>
      <c r="I77" s="30"/>
      <c r="L77" s="30"/>
    </row>
    <row r="78" ht="15.75" customHeight="1" spans="8:12">
      <c r="H78" s="30"/>
      <c r="I78" s="30"/>
      <c r="L78" s="30"/>
    </row>
    <row r="79" ht="15.75" customHeight="1" spans="8:12">
      <c r="H79" s="30"/>
      <c r="I79" s="30"/>
      <c r="L79" s="30"/>
    </row>
    <row r="80" ht="15.75" customHeight="1" spans="8:12">
      <c r="H80" s="30"/>
      <c r="I80" s="30"/>
      <c r="L80" s="30"/>
    </row>
    <row r="81" ht="15.75" customHeight="1" spans="8:12">
      <c r="H81" s="30"/>
      <c r="I81" s="30"/>
      <c r="L81" s="30"/>
    </row>
    <row r="82" ht="15.75" customHeight="1" spans="8:12">
      <c r="H82" s="30"/>
      <c r="I82" s="30"/>
      <c r="L82" s="30"/>
    </row>
    <row r="83" ht="15.75" customHeight="1" spans="8:12">
      <c r="H83" s="30"/>
      <c r="I83" s="30"/>
      <c r="L83" s="30"/>
    </row>
    <row r="84" ht="15.75" customHeight="1" spans="8:12">
      <c r="H84" s="30"/>
      <c r="I84" s="30"/>
      <c r="L84" s="30"/>
    </row>
    <row r="85" ht="15.75" customHeight="1" spans="8:12">
      <c r="H85" s="30"/>
      <c r="I85" s="30"/>
      <c r="L85" s="30"/>
    </row>
    <row r="86" ht="15.75" customHeight="1" spans="8:12">
      <c r="H86" s="30"/>
      <c r="I86" s="30"/>
      <c r="L86" s="30"/>
    </row>
    <row r="87" ht="15.75" customHeight="1" spans="8:12">
      <c r="H87" s="30"/>
      <c r="I87" s="30"/>
      <c r="L87" s="30"/>
    </row>
    <row r="88" ht="15.75" customHeight="1" spans="8:12">
      <c r="H88" s="30"/>
      <c r="I88" s="30"/>
      <c r="L88" s="30"/>
    </row>
    <row r="89" ht="15.75" customHeight="1" spans="8:12">
      <c r="H89" s="30"/>
      <c r="I89" s="30"/>
      <c r="L89" s="30"/>
    </row>
    <row r="90" ht="15.75" customHeight="1" spans="8:12">
      <c r="H90" s="30"/>
      <c r="I90" s="30"/>
      <c r="L90" s="30"/>
    </row>
    <row r="91" ht="15.75" customHeight="1" spans="8:12">
      <c r="H91" s="30"/>
      <c r="I91" s="30"/>
      <c r="L91" s="30"/>
    </row>
    <row r="92" ht="15.75" customHeight="1" spans="8:12">
      <c r="H92" s="30"/>
      <c r="I92" s="30"/>
      <c r="L92" s="30"/>
    </row>
    <row r="93" ht="15.75" customHeight="1" spans="8:12">
      <c r="H93" s="30"/>
      <c r="I93" s="30"/>
      <c r="L93" s="30"/>
    </row>
    <row r="94" ht="15.75" customHeight="1" spans="8:12">
      <c r="H94" s="30"/>
      <c r="I94" s="30"/>
      <c r="L94" s="30"/>
    </row>
    <row r="95" ht="15.75" customHeight="1" spans="8:12">
      <c r="H95" s="30"/>
      <c r="I95" s="30"/>
      <c r="L95" s="30"/>
    </row>
    <row r="96" ht="15.75" customHeight="1" spans="8:12">
      <c r="H96" s="30"/>
      <c r="I96" s="30"/>
      <c r="L96" s="30"/>
    </row>
    <row r="97" ht="15.75" customHeight="1" spans="8:12">
      <c r="H97" s="30"/>
      <c r="I97" s="30"/>
      <c r="L97" s="30"/>
    </row>
    <row r="98" ht="15.75" customHeight="1" spans="8:12">
      <c r="H98" s="30"/>
      <c r="I98" s="30"/>
      <c r="L98" s="30"/>
    </row>
    <row r="99" ht="15.75" customHeight="1" spans="8:12">
      <c r="H99" s="30"/>
      <c r="I99" s="30"/>
      <c r="L99" s="30"/>
    </row>
    <row r="100" ht="15.75" customHeight="1" spans="8:12">
      <c r="H100" s="30"/>
      <c r="I100" s="30"/>
      <c r="L100" s="30"/>
    </row>
    <row r="101" ht="15.75" customHeight="1" spans="8:12">
      <c r="H101" s="30"/>
      <c r="I101" s="30"/>
      <c r="L101" s="30"/>
    </row>
    <row r="102" ht="15.75" customHeight="1" spans="8:12">
      <c r="H102" s="30"/>
      <c r="I102" s="30"/>
      <c r="L102" s="30"/>
    </row>
    <row r="103" ht="15.75" customHeight="1" spans="8:12">
      <c r="H103" s="30"/>
      <c r="I103" s="30"/>
      <c r="L103" s="30"/>
    </row>
    <row r="104" ht="15.75" customHeight="1" spans="8:12">
      <c r="H104" s="30"/>
      <c r="I104" s="30"/>
      <c r="L104" s="30"/>
    </row>
    <row r="105" ht="15.75" customHeight="1" spans="8:12">
      <c r="H105" s="30"/>
      <c r="I105" s="30"/>
      <c r="L105" s="30"/>
    </row>
    <row r="106" ht="15.75" customHeight="1" spans="8:12">
      <c r="H106" s="30"/>
      <c r="I106" s="30"/>
      <c r="L106" s="30"/>
    </row>
    <row r="107" ht="15.75" customHeight="1" spans="8:12">
      <c r="H107" s="30"/>
      <c r="I107" s="30"/>
      <c r="L107" s="30"/>
    </row>
    <row r="108" ht="15.75" customHeight="1" spans="8:12">
      <c r="H108" s="30"/>
      <c r="I108" s="30"/>
      <c r="L108" s="30"/>
    </row>
    <row r="109" ht="15.75" customHeight="1" spans="8:12">
      <c r="H109" s="30"/>
      <c r="I109" s="30"/>
      <c r="L109" s="30"/>
    </row>
    <row r="110" ht="15.75" customHeight="1" spans="8:12">
      <c r="H110" s="30"/>
      <c r="I110" s="30"/>
      <c r="L110" s="30"/>
    </row>
    <row r="111" ht="15.75" customHeight="1" spans="8:12">
      <c r="H111" s="30"/>
      <c r="I111" s="30"/>
      <c r="L111" s="30"/>
    </row>
    <row r="112" ht="15.75" customHeight="1" spans="8:12">
      <c r="H112" s="30"/>
      <c r="I112" s="30"/>
      <c r="L112" s="30"/>
    </row>
    <row r="113" ht="15.75" customHeight="1" spans="8:12">
      <c r="H113" s="30"/>
      <c r="I113" s="30"/>
      <c r="L113" s="30"/>
    </row>
    <row r="114" ht="15.75" customHeight="1" spans="8:12">
      <c r="H114" s="30"/>
      <c r="I114" s="30"/>
      <c r="L114" s="30"/>
    </row>
    <row r="115" ht="15.75" customHeight="1" spans="8:12">
      <c r="H115" s="30"/>
      <c r="I115" s="30"/>
      <c r="L115" s="30"/>
    </row>
    <row r="116" ht="15.75" customHeight="1" spans="8:12">
      <c r="H116" s="30"/>
      <c r="I116" s="30"/>
      <c r="L116" s="30"/>
    </row>
    <row r="117" ht="15.75" customHeight="1" spans="8:12">
      <c r="H117" s="30"/>
      <c r="I117" s="30"/>
      <c r="L117" s="30"/>
    </row>
    <row r="118" ht="15.75" customHeight="1" spans="8:12">
      <c r="H118" s="30"/>
      <c r="I118" s="30"/>
      <c r="L118" s="30"/>
    </row>
    <row r="119" ht="15.75" customHeight="1" spans="8:12">
      <c r="H119" s="30"/>
      <c r="I119" s="30"/>
      <c r="L119" s="30"/>
    </row>
    <row r="120" ht="15.75" customHeight="1" spans="8:12">
      <c r="H120" s="30"/>
      <c r="I120" s="30"/>
      <c r="L120" s="30"/>
    </row>
    <row r="121" ht="15.75" customHeight="1" spans="8:12">
      <c r="H121" s="30"/>
      <c r="I121" s="30"/>
      <c r="L121" s="30"/>
    </row>
    <row r="122" ht="15.75" customHeight="1" spans="8:12">
      <c r="H122" s="30"/>
      <c r="I122" s="30"/>
      <c r="L122" s="30"/>
    </row>
    <row r="123" ht="15.75" customHeight="1" spans="8:12">
      <c r="H123" s="30"/>
      <c r="I123" s="30"/>
      <c r="L123" s="30"/>
    </row>
    <row r="124" ht="15.75" customHeight="1" spans="8:12">
      <c r="H124" s="30"/>
      <c r="I124" s="30"/>
      <c r="L124" s="30"/>
    </row>
    <row r="125" ht="15.75" customHeight="1" spans="8:12">
      <c r="H125" s="30"/>
      <c r="I125" s="30"/>
      <c r="L125" s="30"/>
    </row>
    <row r="126" ht="15.75" customHeight="1" spans="8:12">
      <c r="H126" s="30"/>
      <c r="I126" s="30"/>
      <c r="L126" s="30"/>
    </row>
    <row r="127" ht="15.75" customHeight="1" spans="8:12">
      <c r="H127" s="30"/>
      <c r="I127" s="30"/>
      <c r="L127" s="30"/>
    </row>
    <row r="128" ht="15.75" customHeight="1" spans="8:12">
      <c r="H128" s="30"/>
      <c r="I128" s="30"/>
      <c r="L128" s="30"/>
    </row>
    <row r="129" ht="15.75" customHeight="1" spans="8:12">
      <c r="H129" s="30"/>
      <c r="I129" s="30"/>
      <c r="L129" s="30"/>
    </row>
    <row r="130" ht="15.75" customHeight="1" spans="8:12">
      <c r="H130" s="30"/>
      <c r="I130" s="30"/>
      <c r="L130" s="30"/>
    </row>
    <row r="131" ht="15.75" customHeight="1" spans="8:12">
      <c r="H131" s="30"/>
      <c r="I131" s="30"/>
      <c r="L131" s="30"/>
    </row>
    <row r="132" ht="15.75" customHeight="1" spans="8:12">
      <c r="H132" s="30"/>
      <c r="I132" s="30"/>
      <c r="L132" s="30"/>
    </row>
    <row r="133" ht="15.75" customHeight="1" spans="8:12">
      <c r="H133" s="30"/>
      <c r="I133" s="30"/>
      <c r="L133" s="30"/>
    </row>
    <row r="134" ht="15.75" customHeight="1" spans="8:12">
      <c r="H134" s="30"/>
      <c r="I134" s="30"/>
      <c r="L134" s="30"/>
    </row>
    <row r="135" ht="15.75" customHeight="1" spans="8:12">
      <c r="H135" s="30"/>
      <c r="I135" s="30"/>
      <c r="L135" s="30"/>
    </row>
    <row r="136" ht="15.75" customHeight="1" spans="8:12">
      <c r="H136" s="30"/>
      <c r="I136" s="30"/>
      <c r="L136" s="30"/>
    </row>
    <row r="137" ht="15.75" customHeight="1" spans="8:12">
      <c r="H137" s="30"/>
      <c r="I137" s="30"/>
      <c r="L137" s="30"/>
    </row>
    <row r="138" ht="15.75" customHeight="1" spans="8:12">
      <c r="H138" s="30"/>
      <c r="I138" s="30"/>
      <c r="L138" s="30"/>
    </row>
    <row r="139" ht="15.75" customHeight="1" spans="8:12">
      <c r="H139" s="30"/>
      <c r="I139" s="30"/>
      <c r="L139" s="30"/>
    </row>
    <row r="140" ht="15.75" customHeight="1" spans="8:12">
      <c r="H140" s="30"/>
      <c r="I140" s="30"/>
      <c r="L140" s="30"/>
    </row>
    <row r="141" ht="15.75" customHeight="1" spans="8:12">
      <c r="H141" s="30"/>
      <c r="I141" s="30"/>
      <c r="L141" s="30"/>
    </row>
    <row r="142" ht="15.75" customHeight="1" spans="8:12">
      <c r="H142" s="30"/>
      <c r="I142" s="30"/>
      <c r="L142" s="30"/>
    </row>
    <row r="143" ht="15.75" customHeight="1" spans="8:12">
      <c r="H143" s="30"/>
      <c r="I143" s="30"/>
      <c r="L143" s="30"/>
    </row>
    <row r="144" ht="15.75" customHeight="1" spans="8:12">
      <c r="H144" s="30"/>
      <c r="I144" s="30"/>
      <c r="L144" s="30"/>
    </row>
    <row r="145" ht="15.75" customHeight="1" spans="8:12">
      <c r="H145" s="30"/>
      <c r="I145" s="30"/>
      <c r="L145" s="30"/>
    </row>
    <row r="146" ht="15.75" customHeight="1" spans="8:12">
      <c r="H146" s="30"/>
      <c r="I146" s="30"/>
      <c r="L146" s="30"/>
    </row>
    <row r="147" ht="15.75" customHeight="1" spans="8:12">
      <c r="H147" s="30"/>
      <c r="I147" s="30"/>
      <c r="L147" s="30"/>
    </row>
    <row r="148" ht="15.75" customHeight="1" spans="8:12">
      <c r="H148" s="30"/>
      <c r="I148" s="30"/>
      <c r="L148" s="30"/>
    </row>
    <row r="149" ht="15.75" customHeight="1" spans="8:12">
      <c r="H149" s="30"/>
      <c r="I149" s="30"/>
      <c r="L149" s="30"/>
    </row>
    <row r="150" ht="15.75" customHeight="1" spans="8:12">
      <c r="H150" s="30"/>
      <c r="I150" s="30"/>
      <c r="L150" s="30"/>
    </row>
    <row r="151" ht="15.75" customHeight="1" spans="8:12">
      <c r="H151" s="30"/>
      <c r="I151" s="30"/>
      <c r="L151" s="30"/>
    </row>
    <row r="152" ht="15.75" customHeight="1" spans="8:12">
      <c r="H152" s="30"/>
      <c r="I152" s="30"/>
      <c r="L152" s="30"/>
    </row>
    <row r="153" ht="15.75" customHeight="1" spans="8:12">
      <c r="H153" s="30"/>
      <c r="I153" s="30"/>
      <c r="L153" s="30"/>
    </row>
    <row r="154" ht="15.75" customHeight="1" spans="8:12">
      <c r="H154" s="30"/>
      <c r="I154" s="30"/>
      <c r="L154" s="30"/>
    </row>
    <row r="155" ht="15.75" customHeight="1" spans="8:12">
      <c r="H155" s="30"/>
      <c r="I155" s="30"/>
      <c r="L155" s="30"/>
    </row>
    <row r="156" ht="15.75" customHeight="1" spans="8:12">
      <c r="H156" s="30"/>
      <c r="I156" s="30"/>
      <c r="L156" s="30"/>
    </row>
    <row r="157" ht="15.75" customHeight="1" spans="8:12">
      <c r="H157" s="30"/>
      <c r="I157" s="30"/>
      <c r="L157" s="30"/>
    </row>
    <row r="158" ht="15.75" customHeight="1" spans="8:12">
      <c r="H158" s="30"/>
      <c r="I158" s="30"/>
      <c r="L158" s="30"/>
    </row>
    <row r="159" ht="15.75" customHeight="1" spans="8:12">
      <c r="H159" s="30"/>
      <c r="I159" s="30"/>
      <c r="L159" s="30"/>
    </row>
    <row r="160" ht="15.75" customHeight="1" spans="8:12">
      <c r="H160" s="30"/>
      <c r="I160" s="30"/>
      <c r="L160" s="30"/>
    </row>
    <row r="161" ht="15.75" customHeight="1" spans="8:12">
      <c r="H161" s="30"/>
      <c r="I161" s="30"/>
      <c r="L161" s="30"/>
    </row>
    <row r="162" ht="15.75" customHeight="1" spans="8:12">
      <c r="H162" s="30"/>
      <c r="I162" s="30"/>
      <c r="L162" s="30"/>
    </row>
    <row r="163" ht="15.75" customHeight="1" spans="8:12">
      <c r="H163" s="30"/>
      <c r="I163" s="30"/>
      <c r="L163" s="30"/>
    </row>
    <row r="164" ht="15.75" customHeight="1" spans="8:12">
      <c r="H164" s="30"/>
      <c r="I164" s="30"/>
      <c r="L164" s="30"/>
    </row>
    <row r="165" ht="15.75" customHeight="1" spans="8:12">
      <c r="H165" s="30"/>
      <c r="I165" s="30"/>
      <c r="L165" s="30"/>
    </row>
    <row r="166" ht="15.75" customHeight="1" spans="8:12">
      <c r="H166" s="30"/>
      <c r="I166" s="30"/>
      <c r="L166" s="30"/>
    </row>
    <row r="167" ht="15.75" customHeight="1" spans="8:12">
      <c r="H167" s="30"/>
      <c r="I167" s="30"/>
      <c r="L167" s="30"/>
    </row>
    <row r="168" ht="15.75" customHeight="1" spans="8:12">
      <c r="H168" s="30"/>
      <c r="I168" s="30"/>
      <c r="L168" s="30"/>
    </row>
    <row r="169" ht="15.75" customHeight="1" spans="8:12">
      <c r="H169" s="30"/>
      <c r="I169" s="30"/>
      <c r="L169" s="30"/>
    </row>
    <row r="170" ht="15.75" customHeight="1" spans="8:12">
      <c r="H170" s="30"/>
      <c r="I170" s="30"/>
      <c r="L170" s="30"/>
    </row>
    <row r="171" ht="15.75" customHeight="1" spans="8:12">
      <c r="H171" s="30"/>
      <c r="I171" s="30"/>
      <c r="L171" s="30"/>
    </row>
    <row r="172" ht="15.75" customHeight="1" spans="8:12">
      <c r="H172" s="30"/>
      <c r="I172" s="30"/>
      <c r="L172" s="30"/>
    </row>
    <row r="173" ht="15.75" customHeight="1" spans="8:12">
      <c r="H173" s="30"/>
      <c r="I173" s="30"/>
      <c r="L173" s="30"/>
    </row>
    <row r="174" ht="15.75" customHeight="1" spans="8:12">
      <c r="H174" s="30"/>
      <c r="I174" s="30"/>
      <c r="L174" s="30"/>
    </row>
    <row r="175" ht="15.75" customHeight="1" spans="8:12">
      <c r="H175" s="30"/>
      <c r="I175" s="30"/>
      <c r="L175" s="30"/>
    </row>
    <row r="176" ht="15.75" customHeight="1" spans="8:12">
      <c r="H176" s="30"/>
      <c r="I176" s="30"/>
      <c r="L176" s="30"/>
    </row>
    <row r="177" ht="15.75" customHeight="1" spans="8:12">
      <c r="H177" s="30"/>
      <c r="I177" s="30"/>
      <c r="L177" s="30"/>
    </row>
    <row r="178" ht="15.75" customHeight="1" spans="8:12">
      <c r="H178" s="30"/>
      <c r="I178" s="30"/>
      <c r="L178" s="30"/>
    </row>
    <row r="179" ht="15.75" customHeight="1" spans="8:12">
      <c r="H179" s="30"/>
      <c r="I179" s="30"/>
      <c r="L179" s="30"/>
    </row>
    <row r="180" ht="15.75" customHeight="1" spans="8:12">
      <c r="H180" s="30"/>
      <c r="I180" s="30"/>
      <c r="L180" s="30"/>
    </row>
    <row r="181" ht="15.75" customHeight="1" spans="8:12">
      <c r="H181" s="30"/>
      <c r="I181" s="30"/>
      <c r="L181" s="30"/>
    </row>
    <row r="182" ht="15.75" customHeight="1" spans="8:12">
      <c r="H182" s="30"/>
      <c r="I182" s="30"/>
      <c r="L182" s="30"/>
    </row>
    <row r="183" ht="15.75" customHeight="1" spans="8:12">
      <c r="H183" s="30"/>
      <c r="I183" s="30"/>
      <c r="L183" s="30"/>
    </row>
    <row r="184" ht="15.75" customHeight="1" spans="8:12">
      <c r="H184" s="30"/>
      <c r="I184" s="30"/>
      <c r="L184" s="30"/>
    </row>
    <row r="185" ht="15.75" customHeight="1" spans="8:12">
      <c r="H185" s="30"/>
      <c r="I185" s="30"/>
      <c r="L185" s="30"/>
    </row>
    <row r="186" ht="15.75" customHeight="1" spans="8:12">
      <c r="H186" s="30"/>
      <c r="I186" s="30"/>
      <c r="L186" s="30"/>
    </row>
    <row r="187" ht="15.75" customHeight="1" spans="8:12">
      <c r="H187" s="30"/>
      <c r="I187" s="30"/>
      <c r="L187" s="30"/>
    </row>
    <row r="188" ht="15.75" customHeight="1" spans="8:12">
      <c r="H188" s="30"/>
      <c r="I188" s="30"/>
      <c r="L188" s="30"/>
    </row>
    <row r="189" ht="15.75" customHeight="1" spans="8:12">
      <c r="H189" s="30"/>
      <c r="I189" s="30"/>
      <c r="L189" s="30"/>
    </row>
    <row r="190" ht="15.75" customHeight="1" spans="8:12">
      <c r="H190" s="30"/>
      <c r="I190" s="30"/>
      <c r="L190" s="30"/>
    </row>
    <row r="191" ht="15.75" customHeight="1" spans="8:12">
      <c r="H191" s="30"/>
      <c r="I191" s="30"/>
      <c r="L191" s="30"/>
    </row>
    <row r="192" ht="15.75" customHeight="1" spans="8:12">
      <c r="H192" s="30"/>
      <c r="I192" s="30"/>
      <c r="L192" s="30"/>
    </row>
    <row r="193" ht="15.75" customHeight="1" spans="8:12">
      <c r="H193" s="30"/>
      <c r="I193" s="30"/>
      <c r="L193" s="30"/>
    </row>
    <row r="194" ht="15.75" customHeight="1" spans="8:12">
      <c r="H194" s="30"/>
      <c r="I194" s="30"/>
      <c r="L194" s="30"/>
    </row>
    <row r="195" ht="15.75" customHeight="1" spans="8:12">
      <c r="H195" s="30"/>
      <c r="I195" s="30"/>
      <c r="L195" s="30"/>
    </row>
    <row r="196" ht="15.75" customHeight="1" spans="8:12">
      <c r="H196" s="30"/>
      <c r="I196" s="30"/>
      <c r="L196" s="30"/>
    </row>
    <row r="197" ht="15.75" customHeight="1" spans="8:12">
      <c r="H197" s="30"/>
      <c r="I197" s="30"/>
      <c r="L197" s="30"/>
    </row>
    <row r="198" ht="15.75" customHeight="1" spans="8:12">
      <c r="H198" s="30"/>
      <c r="I198" s="30"/>
      <c r="L198" s="30"/>
    </row>
    <row r="199" ht="15.75" customHeight="1" spans="8:12">
      <c r="H199" s="30"/>
      <c r="I199" s="30"/>
      <c r="L199" s="30"/>
    </row>
    <row r="200" ht="15.75" customHeight="1" spans="8:12">
      <c r="H200" s="30"/>
      <c r="I200" s="30"/>
      <c r="L200" s="30"/>
    </row>
    <row r="201" ht="15.75" customHeight="1" spans="8:12">
      <c r="H201" s="30"/>
      <c r="I201" s="30"/>
      <c r="L201" s="30"/>
    </row>
    <row r="202" ht="15.75" customHeight="1" spans="8:12">
      <c r="H202" s="30"/>
      <c r="I202" s="30"/>
      <c r="L202" s="30"/>
    </row>
    <row r="203" ht="15.75" customHeight="1" spans="8:12">
      <c r="H203" s="30"/>
      <c r="I203" s="30"/>
      <c r="L203" s="30"/>
    </row>
    <row r="204" ht="15.75" customHeight="1" spans="8:12">
      <c r="H204" s="30"/>
      <c r="I204" s="30"/>
      <c r="L204" s="30"/>
    </row>
    <row r="205" ht="15.75" customHeight="1" spans="8:12">
      <c r="H205" s="30"/>
      <c r="I205" s="30"/>
      <c r="L205" s="30"/>
    </row>
    <row r="206" ht="15.75" customHeight="1" spans="8:12">
      <c r="H206" s="30"/>
      <c r="I206" s="30"/>
      <c r="L206" s="30"/>
    </row>
    <row r="207" ht="15.75" customHeight="1" spans="8:12">
      <c r="H207" s="30"/>
      <c r="I207" s="30"/>
      <c r="L207" s="30"/>
    </row>
    <row r="208" ht="15.75" customHeight="1" spans="8:12">
      <c r="H208" s="30"/>
      <c r="I208" s="30"/>
      <c r="L208" s="30"/>
    </row>
    <row r="209" ht="15.75" customHeight="1" spans="8:12">
      <c r="H209" s="30"/>
      <c r="I209" s="30"/>
      <c r="L209" s="30"/>
    </row>
    <row r="210" ht="15.75" customHeight="1" spans="8:12">
      <c r="H210" s="30"/>
      <c r="I210" s="30"/>
      <c r="L210" s="30"/>
    </row>
    <row r="211" ht="15.75" customHeight="1" spans="8:12">
      <c r="H211" s="30"/>
      <c r="I211" s="30"/>
      <c r="L211" s="30"/>
    </row>
    <row r="212" ht="15.75" customHeight="1" spans="8:12">
      <c r="H212" s="30"/>
      <c r="I212" s="30"/>
      <c r="L212" s="30"/>
    </row>
    <row r="213" ht="15.75" customHeight="1" spans="8:12">
      <c r="H213" s="30"/>
      <c r="I213" s="30"/>
      <c r="L213" s="30"/>
    </row>
    <row r="214" ht="15.75" customHeight="1" spans="8:12">
      <c r="H214" s="30"/>
      <c r="I214" s="30"/>
      <c r="L214" s="30"/>
    </row>
    <row r="215" ht="15.75" customHeight="1" spans="8:12">
      <c r="H215" s="30"/>
      <c r="I215" s="30"/>
      <c r="L215" s="30"/>
    </row>
    <row r="216" ht="15.75" customHeight="1" spans="8:12">
      <c r="H216" s="30"/>
      <c r="I216" s="30"/>
      <c r="L216" s="30"/>
    </row>
    <row r="217" ht="15.75" customHeight="1" spans="8:12">
      <c r="H217" s="30"/>
      <c r="I217" s="30"/>
      <c r="L217" s="30"/>
    </row>
    <row r="218" ht="15.75" customHeight="1" spans="8:12">
      <c r="H218" s="30"/>
      <c r="I218" s="30"/>
      <c r="L218" s="30"/>
    </row>
    <row r="219" ht="15.75" customHeight="1" spans="8:12">
      <c r="H219" s="30"/>
      <c r="I219" s="30"/>
      <c r="L219" s="30"/>
    </row>
    <row r="220" ht="15.75" customHeight="1" spans="8:12">
      <c r="H220" s="30"/>
      <c r="I220" s="30"/>
      <c r="L220" s="30"/>
    </row>
    <row r="221" ht="15.75" customHeight="1" spans="8:12">
      <c r="H221" s="30"/>
      <c r="I221" s="30"/>
      <c r="L221" s="30"/>
    </row>
    <row r="222" ht="15.75" customHeight="1" spans="8:12">
      <c r="H222" s="30"/>
      <c r="I222" s="30"/>
      <c r="L222" s="30"/>
    </row>
    <row r="223" ht="15.75" customHeight="1" spans="8:12">
      <c r="H223" s="30"/>
      <c r="I223" s="30"/>
      <c r="L223" s="30"/>
    </row>
    <row r="224" ht="15.75" customHeight="1" spans="8:12">
      <c r="H224" s="30"/>
      <c r="I224" s="30"/>
      <c r="L224" s="30"/>
    </row>
    <row r="225" ht="15.75" customHeight="1" spans="8:12">
      <c r="H225" s="30"/>
      <c r="I225" s="30"/>
      <c r="L225" s="30"/>
    </row>
    <row r="226" ht="15.75" customHeight="1" spans="8:12">
      <c r="H226" s="30"/>
      <c r="I226" s="30"/>
      <c r="L226" s="30"/>
    </row>
    <row r="227" ht="15.75" customHeight="1" spans="8:12">
      <c r="H227" s="30"/>
      <c r="I227" s="30"/>
      <c r="L227" s="30"/>
    </row>
    <row r="228" ht="15.75" customHeight="1" spans="8:12">
      <c r="H228" s="30"/>
      <c r="I228" s="30"/>
      <c r="L228" s="30"/>
    </row>
    <row r="229" ht="15.75" customHeight="1" spans="8:12">
      <c r="H229" s="30"/>
      <c r="I229" s="30"/>
      <c r="L229" s="30"/>
    </row>
    <row r="230" ht="15.75" customHeight="1" spans="8:12">
      <c r="H230" s="30"/>
      <c r="I230" s="30"/>
      <c r="L230" s="30"/>
    </row>
    <row r="231" ht="15.75" customHeight="1" spans="8:12">
      <c r="H231" s="30"/>
      <c r="I231" s="30"/>
      <c r="L231" s="30"/>
    </row>
    <row r="232" ht="15.75" customHeight="1" spans="8:12">
      <c r="H232" s="30"/>
      <c r="I232" s="30"/>
      <c r="L232" s="30"/>
    </row>
    <row r="233" ht="15.75" customHeight="1" spans="8:12">
      <c r="H233" s="30"/>
      <c r="I233" s="30"/>
      <c r="L233" s="30"/>
    </row>
    <row r="234" ht="15.75" customHeight="1" spans="8:12">
      <c r="H234" s="30"/>
      <c r="I234" s="30"/>
      <c r="L234" s="30"/>
    </row>
    <row r="235" ht="15.75" customHeight="1" spans="8:12">
      <c r="H235" s="30"/>
      <c r="I235" s="30"/>
      <c r="L235" s="30"/>
    </row>
    <row r="236" ht="15.75" customHeight="1" spans="8:12">
      <c r="H236" s="30"/>
      <c r="I236" s="30"/>
      <c r="L236" s="30"/>
    </row>
    <row r="237" ht="15.75" customHeight="1" spans="8:12">
      <c r="H237" s="30"/>
      <c r="I237" s="30"/>
      <c r="L237" s="30"/>
    </row>
    <row r="238" ht="15.75" customHeight="1" spans="8:12">
      <c r="H238" s="30"/>
      <c r="I238" s="30"/>
      <c r="L238" s="30"/>
    </row>
    <row r="239" ht="15.75" customHeight="1" spans="8:12">
      <c r="H239" s="30"/>
      <c r="I239" s="30"/>
      <c r="L239" s="30"/>
    </row>
    <row r="240" ht="15.75" customHeight="1" spans="8:12">
      <c r="H240" s="30"/>
      <c r="I240" s="30"/>
      <c r="L240" s="30"/>
    </row>
    <row r="241" ht="15.75" customHeight="1" spans="8:12">
      <c r="H241" s="30"/>
      <c r="I241" s="30"/>
      <c r="L241" s="30"/>
    </row>
    <row r="242" ht="15.75" customHeight="1" spans="8:12">
      <c r="H242" s="30"/>
      <c r="I242" s="30"/>
      <c r="L242" s="30"/>
    </row>
    <row r="243" ht="15.75" customHeight="1" spans="8:12">
      <c r="H243" s="30"/>
      <c r="I243" s="30"/>
      <c r="L243" s="30"/>
    </row>
    <row r="244" ht="15.75" customHeight="1" spans="8:12">
      <c r="H244" s="30"/>
      <c r="I244" s="30"/>
      <c r="L244" s="30"/>
    </row>
    <row r="245" ht="15.75" customHeight="1" spans="8:12">
      <c r="H245" s="30"/>
      <c r="I245" s="30"/>
      <c r="L245" s="30"/>
    </row>
    <row r="246" ht="15.75" customHeight="1" spans="8:12">
      <c r="H246" s="30"/>
      <c r="I246" s="30"/>
      <c r="L246" s="30"/>
    </row>
    <row r="247" ht="15.75" customHeight="1" spans="8:12">
      <c r="H247" s="30"/>
      <c r="I247" s="30"/>
      <c r="L247" s="30"/>
    </row>
    <row r="248" ht="15.75" customHeight="1" spans="8:12">
      <c r="H248" s="30"/>
      <c r="I248" s="30"/>
      <c r="L248" s="30"/>
    </row>
    <row r="249" ht="15.75" customHeight="1" spans="8:12">
      <c r="H249" s="30"/>
      <c r="I249" s="30"/>
      <c r="L249" s="30"/>
    </row>
    <row r="250" ht="15.75" customHeight="1" spans="8:12">
      <c r="H250" s="30"/>
      <c r="I250" s="30"/>
      <c r="L250" s="30"/>
    </row>
    <row r="251" ht="15.75" customHeight="1" spans="8:12">
      <c r="H251" s="30"/>
      <c r="I251" s="30"/>
      <c r="L251" s="30"/>
    </row>
    <row r="252" ht="15.75" customHeight="1" spans="8:12">
      <c r="H252" s="30"/>
      <c r="I252" s="30"/>
      <c r="L252" s="30"/>
    </row>
    <row r="253" ht="15.75" customHeight="1" spans="8:12">
      <c r="H253" s="30"/>
      <c r="I253" s="30"/>
      <c r="L253" s="30"/>
    </row>
    <row r="254" ht="15.75" customHeight="1" spans="8:12">
      <c r="H254" s="30"/>
      <c r="I254" s="30"/>
      <c r="L254" s="30"/>
    </row>
    <row r="255" ht="15.75" customHeight="1" spans="8:12">
      <c r="H255" s="30"/>
      <c r="I255" s="30"/>
      <c r="L255" s="30"/>
    </row>
    <row r="256" ht="15.75" customHeight="1" spans="8:12">
      <c r="H256" s="30"/>
      <c r="I256" s="30"/>
      <c r="L256" s="30"/>
    </row>
    <row r="257" ht="15.75" customHeight="1" spans="8:12">
      <c r="H257" s="30"/>
      <c r="I257" s="30"/>
      <c r="L257" s="30"/>
    </row>
    <row r="258" ht="15.75" customHeight="1" spans="8:12">
      <c r="H258" s="30"/>
      <c r="I258" s="30"/>
      <c r="L258" s="30"/>
    </row>
    <row r="259" ht="15.75" customHeight="1" spans="8:12">
      <c r="H259" s="30"/>
      <c r="I259" s="30"/>
      <c r="L259" s="30"/>
    </row>
    <row r="260" ht="15.75" customHeight="1" spans="8:12">
      <c r="H260" s="30"/>
      <c r="I260" s="30"/>
      <c r="L260" s="30"/>
    </row>
    <row r="261" ht="15.75" customHeight="1" spans="8:12">
      <c r="H261" s="30"/>
      <c r="I261" s="30"/>
      <c r="L261" s="30"/>
    </row>
    <row r="262" ht="15.75" customHeight="1" spans="8:12">
      <c r="H262" s="30"/>
      <c r="I262" s="30"/>
      <c r="L262" s="30"/>
    </row>
    <row r="263" ht="15.75" customHeight="1" spans="8:12">
      <c r="H263" s="30"/>
      <c r="I263" s="30"/>
      <c r="L263" s="30"/>
    </row>
    <row r="264" ht="15.75" customHeight="1" spans="8:12">
      <c r="H264" s="30"/>
      <c r="I264" s="30"/>
      <c r="L264" s="30"/>
    </row>
    <row r="265" ht="15.75" customHeight="1" spans="8:12">
      <c r="H265" s="30"/>
      <c r="I265" s="30"/>
      <c r="L265" s="30"/>
    </row>
    <row r="266" ht="15.75" customHeight="1" spans="8:12">
      <c r="H266" s="30"/>
      <c r="I266" s="30"/>
      <c r="L266" s="30"/>
    </row>
    <row r="267" ht="15.75" customHeight="1" spans="8:12">
      <c r="H267" s="30"/>
      <c r="I267" s="30"/>
      <c r="L267" s="30"/>
    </row>
    <row r="268" ht="15.75" customHeight="1" spans="8:12">
      <c r="H268" s="30"/>
      <c r="I268" s="30"/>
      <c r="L268" s="30"/>
    </row>
    <row r="269" ht="15.75" customHeight="1" spans="8:12">
      <c r="H269" s="30"/>
      <c r="I269" s="30"/>
      <c r="L269" s="30"/>
    </row>
    <row r="270" ht="15.75" customHeight="1" spans="8:12">
      <c r="H270" s="30"/>
      <c r="I270" s="30"/>
      <c r="L270" s="30"/>
    </row>
    <row r="271" ht="15.75" customHeight="1" spans="8:12">
      <c r="H271" s="30"/>
      <c r="I271" s="30"/>
      <c r="L271" s="30"/>
    </row>
    <row r="272" ht="15.75" customHeight="1" spans="8:12">
      <c r="H272" s="30"/>
      <c r="I272" s="30"/>
      <c r="L272" s="30"/>
    </row>
    <row r="273" ht="15.75" customHeight="1" spans="8:12">
      <c r="H273" s="30"/>
      <c r="I273" s="30"/>
      <c r="L273" s="30"/>
    </row>
    <row r="274" ht="15.75" customHeight="1" spans="8:12">
      <c r="H274" s="30"/>
      <c r="I274" s="30"/>
      <c r="L274" s="30"/>
    </row>
    <row r="275" ht="15.75" customHeight="1" spans="8:12">
      <c r="H275" s="30"/>
      <c r="I275" s="30"/>
      <c r="L275" s="30"/>
    </row>
    <row r="276" ht="15.75" customHeight="1" spans="8:12">
      <c r="H276" s="30"/>
      <c r="I276" s="30"/>
      <c r="L276" s="30"/>
    </row>
    <row r="277" ht="15.75" customHeight="1" spans="8:12">
      <c r="H277" s="30"/>
      <c r="I277" s="30"/>
      <c r="L277" s="30"/>
    </row>
    <row r="278" ht="15.75" customHeight="1" spans="8:12">
      <c r="H278" s="30"/>
      <c r="I278" s="30"/>
      <c r="L278" s="30"/>
    </row>
    <row r="279" ht="15.75" customHeight="1" spans="8:12">
      <c r="H279" s="30"/>
      <c r="I279" s="30"/>
      <c r="L279" s="30"/>
    </row>
    <row r="280" ht="15.75" customHeight="1" spans="8:12">
      <c r="H280" s="30"/>
      <c r="I280" s="30"/>
      <c r="L280" s="30"/>
    </row>
    <row r="281" ht="15.75" customHeight="1" spans="8:12">
      <c r="H281" s="30"/>
      <c r="I281" s="30"/>
      <c r="L281" s="30"/>
    </row>
    <row r="282" ht="15.75" customHeight="1" spans="8:12">
      <c r="H282" s="30"/>
      <c r="I282" s="30"/>
      <c r="L282" s="30"/>
    </row>
    <row r="283" ht="15.75" customHeight="1" spans="8:12">
      <c r="H283" s="30"/>
      <c r="I283" s="30"/>
      <c r="L283" s="30"/>
    </row>
    <row r="284" ht="15.75" customHeight="1" spans="8:12">
      <c r="H284" s="30"/>
      <c r="I284" s="30"/>
      <c r="L284" s="30"/>
    </row>
    <row r="285" ht="15.75" customHeight="1" spans="8:12">
      <c r="H285" s="30"/>
      <c r="I285" s="30"/>
      <c r="L285" s="30"/>
    </row>
    <row r="286" ht="15.75" customHeight="1" spans="8:12">
      <c r="H286" s="30"/>
      <c r="I286" s="30"/>
      <c r="L286" s="30"/>
    </row>
    <row r="287" ht="15.75" customHeight="1" spans="8:12">
      <c r="H287" s="30"/>
      <c r="I287" s="30"/>
      <c r="L287" s="30"/>
    </row>
    <row r="288" ht="15.75" customHeight="1" spans="8:12">
      <c r="H288" s="30"/>
      <c r="I288" s="30"/>
      <c r="L288" s="30"/>
    </row>
    <row r="289" ht="15.75" customHeight="1" spans="8:12">
      <c r="H289" s="30"/>
      <c r="I289" s="30"/>
      <c r="L289" s="30"/>
    </row>
    <row r="290" ht="15.75" customHeight="1" spans="8:12">
      <c r="H290" s="30"/>
      <c r="I290" s="30"/>
      <c r="L290" s="30"/>
    </row>
    <row r="291" ht="15.75" customHeight="1" spans="8:12">
      <c r="H291" s="30"/>
      <c r="I291" s="30"/>
      <c r="L291" s="30"/>
    </row>
    <row r="292" ht="15.75" customHeight="1" spans="8:12">
      <c r="H292" s="30"/>
      <c r="I292" s="30"/>
      <c r="L292" s="30"/>
    </row>
    <row r="293" ht="15.75" customHeight="1" spans="8:12">
      <c r="H293" s="30"/>
      <c r="I293" s="30"/>
      <c r="L293" s="30"/>
    </row>
    <row r="294" ht="15.75" customHeight="1" spans="8:12">
      <c r="H294" s="30"/>
      <c r="I294" s="30"/>
      <c r="L294" s="30"/>
    </row>
    <row r="295" ht="15.75" customHeight="1" spans="8:12">
      <c r="H295" s="30"/>
      <c r="I295" s="30"/>
      <c r="L295" s="30"/>
    </row>
    <row r="296" ht="15.75" customHeight="1" spans="8:12">
      <c r="H296" s="30"/>
      <c r="I296" s="30"/>
      <c r="L296" s="30"/>
    </row>
    <row r="297" ht="15.75" customHeight="1" spans="8:12">
      <c r="H297" s="30"/>
      <c r="I297" s="30"/>
      <c r="L297" s="30"/>
    </row>
    <row r="298" ht="15.75" customHeight="1" spans="8:12">
      <c r="H298" s="30"/>
      <c r="I298" s="30"/>
      <c r="L298" s="30"/>
    </row>
    <row r="299" ht="15.75" customHeight="1" spans="8:12">
      <c r="H299" s="30"/>
      <c r="I299" s="30"/>
      <c r="L299" s="30"/>
    </row>
    <row r="300" ht="15.75" customHeight="1" spans="8:12">
      <c r="H300" s="30"/>
      <c r="I300" s="30"/>
      <c r="L300" s="30"/>
    </row>
    <row r="301" ht="15.75" customHeight="1" spans="8:12">
      <c r="H301" s="30"/>
      <c r="I301" s="30"/>
      <c r="L301" s="30"/>
    </row>
    <row r="302" ht="15.75" customHeight="1" spans="8:12">
      <c r="H302" s="30"/>
      <c r="I302" s="30"/>
      <c r="L302" s="30"/>
    </row>
    <row r="303" ht="15.75" customHeight="1" spans="8:12">
      <c r="H303" s="30"/>
      <c r="I303" s="30"/>
      <c r="L303" s="30"/>
    </row>
    <row r="304" ht="15.75" customHeight="1" spans="8:12">
      <c r="H304" s="30"/>
      <c r="I304" s="30"/>
      <c r="L304" s="30"/>
    </row>
    <row r="305" ht="15.75" customHeight="1" spans="8:12">
      <c r="H305" s="30"/>
      <c r="I305" s="30"/>
      <c r="L305" s="30"/>
    </row>
    <row r="306" ht="15.75" customHeight="1" spans="8:12">
      <c r="H306" s="30"/>
      <c r="I306" s="30"/>
      <c r="L306" s="30"/>
    </row>
    <row r="307" ht="15.75" customHeight="1" spans="8:12">
      <c r="H307" s="30"/>
      <c r="I307" s="30"/>
      <c r="L307" s="30"/>
    </row>
    <row r="308" ht="15.75" customHeight="1" spans="8:12">
      <c r="H308" s="30"/>
      <c r="I308" s="30"/>
      <c r="L308" s="30"/>
    </row>
    <row r="309" ht="15.75" customHeight="1" spans="8:12">
      <c r="H309" s="30"/>
      <c r="I309" s="30"/>
      <c r="L309" s="30"/>
    </row>
    <row r="310" ht="15.75" customHeight="1" spans="8:12">
      <c r="H310" s="30"/>
      <c r="I310" s="30"/>
      <c r="L310" s="30"/>
    </row>
    <row r="311" ht="15.75" customHeight="1" spans="8:12">
      <c r="H311" s="30"/>
      <c r="I311" s="30"/>
      <c r="L311" s="30"/>
    </row>
    <row r="312" ht="15.75" customHeight="1" spans="8:12">
      <c r="H312" s="30"/>
      <c r="I312" s="30"/>
      <c r="L312" s="30"/>
    </row>
    <row r="313" ht="15.75" customHeight="1" spans="8:12">
      <c r="H313" s="30"/>
      <c r="I313" s="30"/>
      <c r="L313" s="30"/>
    </row>
    <row r="314" ht="15.75" customHeight="1" spans="8:12">
      <c r="H314" s="30"/>
      <c r="I314" s="30"/>
      <c r="L314" s="30"/>
    </row>
    <row r="315" ht="15.75" customHeight="1" spans="8:12">
      <c r="H315" s="30"/>
      <c r="I315" s="30"/>
      <c r="L315" s="30"/>
    </row>
    <row r="316" ht="15.75" customHeight="1" spans="8:12">
      <c r="H316" s="30"/>
      <c r="I316" s="30"/>
      <c r="L316" s="30"/>
    </row>
    <row r="317" ht="15.75" customHeight="1" spans="8:12">
      <c r="H317" s="30"/>
      <c r="I317" s="30"/>
      <c r="L317" s="30"/>
    </row>
    <row r="318" ht="15.75" customHeight="1" spans="8:12">
      <c r="H318" s="30"/>
      <c r="I318" s="30"/>
      <c r="L318" s="30"/>
    </row>
    <row r="319" ht="15.75" customHeight="1" spans="8:12">
      <c r="H319" s="30"/>
      <c r="I319" s="30"/>
      <c r="L319" s="30"/>
    </row>
    <row r="320" ht="15.75" customHeight="1" spans="8:12">
      <c r="H320" s="30"/>
      <c r="I320" s="30"/>
      <c r="L320" s="30"/>
    </row>
    <row r="321" ht="15.75" customHeight="1" spans="8:12">
      <c r="H321" s="30"/>
      <c r="I321" s="30"/>
      <c r="L321" s="30"/>
    </row>
    <row r="322" ht="15.75" customHeight="1" spans="8:12">
      <c r="H322" s="30"/>
      <c r="I322" s="30"/>
      <c r="L322" s="30"/>
    </row>
    <row r="323" ht="15.75" customHeight="1" spans="8:12">
      <c r="H323" s="30"/>
      <c r="I323" s="30"/>
      <c r="L323" s="30"/>
    </row>
    <row r="324" ht="15.75" customHeight="1" spans="8:12">
      <c r="H324" s="30"/>
      <c r="I324" s="30"/>
      <c r="L324" s="30"/>
    </row>
    <row r="325" ht="15.75" customHeight="1" spans="8:12">
      <c r="H325" s="30"/>
      <c r="I325" s="30"/>
      <c r="L325" s="30"/>
    </row>
    <row r="326" ht="15.75" customHeight="1" spans="8:12">
      <c r="H326" s="30"/>
      <c r="I326" s="30"/>
      <c r="L326" s="30"/>
    </row>
    <row r="327" ht="15.75" customHeight="1" spans="8:12">
      <c r="H327" s="30"/>
      <c r="I327" s="30"/>
      <c r="L327" s="30"/>
    </row>
    <row r="328" ht="15.75" customHeight="1" spans="8:12">
      <c r="H328" s="30"/>
      <c r="I328" s="30"/>
      <c r="L328" s="30"/>
    </row>
    <row r="329" ht="15.75" customHeight="1" spans="8:12">
      <c r="H329" s="30"/>
      <c r="I329" s="30"/>
      <c r="L329" s="30"/>
    </row>
    <row r="330" ht="15.75" customHeight="1" spans="8:12">
      <c r="H330" s="30"/>
      <c r="I330" s="30"/>
      <c r="L330" s="30"/>
    </row>
    <row r="331" ht="15.75" customHeight="1" spans="8:12">
      <c r="H331" s="30"/>
      <c r="I331" s="30"/>
      <c r="L331" s="30"/>
    </row>
    <row r="332" ht="15.75" customHeight="1" spans="8:12">
      <c r="H332" s="30"/>
      <c r="I332" s="30"/>
      <c r="L332" s="30"/>
    </row>
    <row r="333" ht="15.75" customHeight="1" spans="8:12">
      <c r="H333" s="30"/>
      <c r="I333" s="30"/>
      <c r="L333" s="30"/>
    </row>
    <row r="334" ht="15.75" customHeight="1" spans="8:12">
      <c r="H334" s="30"/>
      <c r="I334" s="30"/>
      <c r="L334" s="30"/>
    </row>
    <row r="335" ht="15.75" customHeight="1" spans="8:12">
      <c r="H335" s="30"/>
      <c r="I335" s="30"/>
      <c r="L335" s="30"/>
    </row>
    <row r="336" ht="15.75" customHeight="1" spans="8:12">
      <c r="H336" s="30"/>
      <c r="I336" s="30"/>
      <c r="L336" s="30"/>
    </row>
    <row r="337" ht="15.75" customHeight="1" spans="8:12">
      <c r="H337" s="30"/>
      <c r="I337" s="30"/>
      <c r="L337" s="30"/>
    </row>
    <row r="338" ht="15.75" customHeight="1" spans="8:12">
      <c r="H338" s="30"/>
      <c r="I338" s="30"/>
      <c r="L338" s="30"/>
    </row>
    <row r="339" ht="15.75" customHeight="1" spans="8:12">
      <c r="H339" s="30"/>
      <c r="I339" s="30"/>
      <c r="L339" s="30"/>
    </row>
    <row r="340" ht="15.75" customHeight="1" spans="8:12">
      <c r="H340" s="30"/>
      <c r="I340" s="30"/>
      <c r="L340" s="30"/>
    </row>
    <row r="341" ht="15.75" customHeight="1" spans="8:12">
      <c r="H341" s="30"/>
      <c r="I341" s="30"/>
      <c r="L341" s="30"/>
    </row>
    <row r="342" ht="15.75" customHeight="1" spans="8:12">
      <c r="H342" s="30"/>
      <c r="I342" s="30"/>
      <c r="L342" s="30"/>
    </row>
    <row r="343" ht="15.75" customHeight="1" spans="8:12">
      <c r="H343" s="30"/>
      <c r="I343" s="30"/>
      <c r="L343" s="30"/>
    </row>
    <row r="344" ht="15.75" customHeight="1" spans="8:12">
      <c r="H344" s="30"/>
      <c r="I344" s="30"/>
      <c r="L344" s="30"/>
    </row>
    <row r="345" ht="15.75" customHeight="1" spans="8:12">
      <c r="H345" s="30"/>
      <c r="I345" s="30"/>
      <c r="L345" s="30"/>
    </row>
    <row r="346" ht="15.75" customHeight="1" spans="8:12">
      <c r="H346" s="30"/>
      <c r="I346" s="30"/>
      <c r="L346" s="30"/>
    </row>
    <row r="347" ht="15.75" customHeight="1" spans="8:12">
      <c r="H347" s="30"/>
      <c r="I347" s="30"/>
      <c r="L347" s="30"/>
    </row>
    <row r="348" ht="15.75" customHeight="1" spans="8:12">
      <c r="H348" s="30"/>
      <c r="I348" s="30"/>
      <c r="L348" s="30"/>
    </row>
    <row r="349" ht="15.75" customHeight="1" spans="8:12">
      <c r="H349" s="30"/>
      <c r="I349" s="30"/>
      <c r="L349" s="30"/>
    </row>
    <row r="350" ht="15.75" customHeight="1" spans="8:12">
      <c r="H350" s="30"/>
      <c r="I350" s="30"/>
      <c r="L350" s="30"/>
    </row>
    <row r="351" ht="15.75" customHeight="1" spans="8:12">
      <c r="H351" s="30"/>
      <c r="I351" s="30"/>
      <c r="L351" s="30"/>
    </row>
    <row r="352" ht="15.75" customHeight="1" spans="8:12">
      <c r="H352" s="30"/>
      <c r="I352" s="30"/>
      <c r="L352" s="30"/>
    </row>
    <row r="353" ht="15.75" customHeight="1" spans="8:12">
      <c r="H353" s="30"/>
      <c r="I353" s="30"/>
      <c r="L353" s="30"/>
    </row>
    <row r="354" ht="15.75" customHeight="1" spans="8:12">
      <c r="H354" s="30"/>
      <c r="I354" s="30"/>
      <c r="L354" s="30"/>
    </row>
    <row r="355" ht="15.75" customHeight="1" spans="8:12">
      <c r="H355" s="30"/>
      <c r="I355" s="30"/>
      <c r="L355" s="30"/>
    </row>
    <row r="356" ht="15.75" customHeight="1" spans="8:12">
      <c r="H356" s="30"/>
      <c r="I356" s="30"/>
      <c r="L356" s="30"/>
    </row>
    <row r="357" ht="15.75" customHeight="1" spans="8:12">
      <c r="H357" s="30"/>
      <c r="I357" s="30"/>
      <c r="L357" s="30"/>
    </row>
    <row r="358" ht="15.75" customHeight="1" spans="8:12">
      <c r="H358" s="30"/>
      <c r="I358" s="30"/>
      <c r="L358" s="30"/>
    </row>
    <row r="359" ht="15.75" customHeight="1" spans="8:12">
      <c r="H359" s="30"/>
      <c r="I359" s="30"/>
      <c r="L359" s="30"/>
    </row>
    <row r="360" ht="15.75" customHeight="1" spans="8:12">
      <c r="H360" s="30"/>
      <c r="I360" s="30"/>
      <c r="L360" s="30"/>
    </row>
    <row r="361" ht="15.75" customHeight="1" spans="8:12">
      <c r="H361" s="30"/>
      <c r="I361" s="30"/>
      <c r="L361" s="30"/>
    </row>
    <row r="362" ht="15.75" customHeight="1" spans="8:12">
      <c r="H362" s="30"/>
      <c r="I362" s="30"/>
      <c r="L362" s="30"/>
    </row>
    <row r="363" ht="15.75" customHeight="1" spans="8:12">
      <c r="H363" s="30"/>
      <c r="I363" s="30"/>
      <c r="L363" s="30"/>
    </row>
    <row r="364" ht="15.75" customHeight="1" spans="8:12">
      <c r="H364" s="30"/>
      <c r="I364" s="30"/>
      <c r="L364" s="30"/>
    </row>
    <row r="365" ht="15.75" customHeight="1" spans="8:12">
      <c r="H365" s="30"/>
      <c r="I365" s="30"/>
      <c r="L365" s="30"/>
    </row>
    <row r="366" ht="15.75" customHeight="1" spans="8:12">
      <c r="H366" s="30"/>
      <c r="I366" s="30"/>
      <c r="L366" s="30"/>
    </row>
    <row r="367" ht="15.75" customHeight="1" spans="8:12">
      <c r="H367" s="30"/>
      <c r="I367" s="30"/>
      <c r="L367" s="30"/>
    </row>
    <row r="368" ht="15.75" customHeight="1" spans="8:12">
      <c r="H368" s="30"/>
      <c r="I368" s="30"/>
      <c r="L368" s="30"/>
    </row>
    <row r="369" ht="15.75" customHeight="1" spans="8:12">
      <c r="H369" s="30"/>
      <c r="I369" s="30"/>
      <c r="L369" s="30"/>
    </row>
    <row r="370" ht="15.75" customHeight="1" spans="8:12">
      <c r="H370" s="30"/>
      <c r="I370" s="30"/>
      <c r="L370" s="30"/>
    </row>
    <row r="371" ht="15.75" customHeight="1" spans="8:12">
      <c r="H371" s="30"/>
      <c r="I371" s="30"/>
      <c r="L371" s="30"/>
    </row>
    <row r="372" ht="15.75" customHeight="1" spans="8:12">
      <c r="H372" s="30"/>
      <c r="I372" s="30"/>
      <c r="L372" s="30"/>
    </row>
    <row r="373" ht="15.75" customHeight="1" spans="8:12">
      <c r="H373" s="30"/>
      <c r="I373" s="30"/>
      <c r="L373" s="30"/>
    </row>
    <row r="374" ht="15.75" customHeight="1" spans="8:12">
      <c r="H374" s="30"/>
      <c r="I374" s="30"/>
      <c r="L374" s="30"/>
    </row>
    <row r="375" ht="15.75" customHeight="1" spans="8:12">
      <c r="H375" s="30"/>
      <c r="I375" s="30"/>
      <c r="L375" s="30"/>
    </row>
    <row r="376" ht="15.75" customHeight="1" spans="8:12">
      <c r="H376" s="30"/>
      <c r="I376" s="30"/>
      <c r="L376" s="30"/>
    </row>
    <row r="377" ht="15.75" customHeight="1" spans="8:12">
      <c r="H377" s="30"/>
      <c r="I377" s="30"/>
      <c r="L377" s="30"/>
    </row>
    <row r="378" ht="15.75" customHeight="1" spans="8:12">
      <c r="H378" s="30"/>
      <c r="I378" s="30"/>
      <c r="L378" s="30"/>
    </row>
    <row r="379" ht="15.75" customHeight="1" spans="8:12">
      <c r="H379" s="30"/>
      <c r="I379" s="30"/>
      <c r="L379" s="30"/>
    </row>
    <row r="380" ht="15.75" customHeight="1" spans="8:12">
      <c r="H380" s="30"/>
      <c r="I380" s="30"/>
      <c r="L380" s="30"/>
    </row>
    <row r="381" ht="15.75" customHeight="1" spans="8:12">
      <c r="H381" s="30"/>
      <c r="I381" s="30"/>
      <c r="L381" s="30"/>
    </row>
    <row r="382" ht="15.75" customHeight="1" spans="8:12">
      <c r="H382" s="30"/>
      <c r="I382" s="30"/>
      <c r="L382" s="30"/>
    </row>
    <row r="383" ht="15.75" customHeight="1" spans="8:12">
      <c r="H383" s="30"/>
      <c r="I383" s="30"/>
      <c r="L383" s="30"/>
    </row>
    <row r="384" ht="15.75" customHeight="1" spans="8:12">
      <c r="H384" s="30"/>
      <c r="I384" s="30"/>
      <c r="L384" s="30"/>
    </row>
    <row r="385" ht="15.75" customHeight="1" spans="8:12">
      <c r="H385" s="30"/>
      <c r="I385" s="30"/>
      <c r="L385" s="30"/>
    </row>
    <row r="386" ht="15.75" customHeight="1" spans="8:12">
      <c r="H386" s="30"/>
      <c r="I386" s="30"/>
      <c r="L386" s="30"/>
    </row>
    <row r="387" ht="15.75" customHeight="1" spans="8:12">
      <c r="H387" s="30"/>
      <c r="I387" s="30"/>
      <c r="L387" s="30"/>
    </row>
    <row r="388" ht="15.75" customHeight="1" spans="8:12">
      <c r="H388" s="30"/>
      <c r="I388" s="30"/>
      <c r="L388" s="30"/>
    </row>
    <row r="389" ht="15.75" customHeight="1" spans="8:12">
      <c r="H389" s="30"/>
      <c r="I389" s="30"/>
      <c r="L389" s="30"/>
    </row>
    <row r="390" ht="15.75" customHeight="1" spans="8:12">
      <c r="H390" s="30"/>
      <c r="I390" s="30"/>
      <c r="L390" s="30"/>
    </row>
    <row r="391" ht="15.75" customHeight="1" spans="8:12">
      <c r="H391" s="30"/>
      <c r="I391" s="30"/>
      <c r="L391" s="30"/>
    </row>
    <row r="392" ht="15.75" customHeight="1" spans="8:12">
      <c r="H392" s="30"/>
      <c r="I392" s="30"/>
      <c r="L392" s="30"/>
    </row>
    <row r="393" ht="15.75" customHeight="1" spans="8:12">
      <c r="H393" s="30"/>
      <c r="I393" s="30"/>
      <c r="L393" s="30"/>
    </row>
    <row r="394" ht="15.75" customHeight="1" spans="8:12">
      <c r="H394" s="30"/>
      <c r="I394" s="30"/>
      <c r="L394" s="30"/>
    </row>
    <row r="395" ht="15.75" customHeight="1" spans="8:12">
      <c r="H395" s="30"/>
      <c r="I395" s="30"/>
      <c r="L395" s="30"/>
    </row>
    <row r="396" ht="15.75" customHeight="1" spans="8:12">
      <c r="H396" s="30"/>
      <c r="I396" s="30"/>
      <c r="L396" s="30"/>
    </row>
    <row r="397" ht="15.75" customHeight="1" spans="8:12">
      <c r="H397" s="30"/>
      <c r="I397" s="30"/>
      <c r="L397" s="30"/>
    </row>
    <row r="398" ht="15.75" customHeight="1" spans="8:12">
      <c r="H398" s="30"/>
      <c r="I398" s="30"/>
      <c r="L398" s="30"/>
    </row>
    <row r="399" ht="15.75" customHeight="1" spans="8:12">
      <c r="H399" s="30"/>
      <c r="I399" s="30"/>
      <c r="L399" s="30"/>
    </row>
    <row r="400" ht="15.75" customHeight="1" spans="8:12">
      <c r="H400" s="30"/>
      <c r="I400" s="30"/>
      <c r="L400" s="30"/>
    </row>
    <row r="401" ht="15.75" customHeight="1" spans="8:12">
      <c r="H401" s="30"/>
      <c r="I401" s="30"/>
      <c r="L401" s="30"/>
    </row>
    <row r="402" ht="15.75" customHeight="1" spans="8:12">
      <c r="H402" s="30"/>
      <c r="I402" s="30"/>
      <c r="L402" s="30"/>
    </row>
    <row r="403" ht="15.75" customHeight="1" spans="8:12">
      <c r="H403" s="30"/>
      <c r="I403" s="30"/>
      <c r="L403" s="30"/>
    </row>
    <row r="404" ht="15.75" customHeight="1" spans="8:12">
      <c r="H404" s="30"/>
      <c r="I404" s="30"/>
      <c r="L404" s="30"/>
    </row>
    <row r="405" ht="15.75" customHeight="1" spans="8:12">
      <c r="H405" s="30"/>
      <c r="I405" s="30"/>
      <c r="L405" s="30"/>
    </row>
    <row r="406" ht="15.75" customHeight="1" spans="8:12">
      <c r="H406" s="30"/>
      <c r="I406" s="30"/>
      <c r="L406" s="30"/>
    </row>
    <row r="407" ht="15.75" customHeight="1" spans="8:12">
      <c r="H407" s="30"/>
      <c r="I407" s="30"/>
      <c r="L407" s="30"/>
    </row>
    <row r="408" ht="15.75" customHeight="1" spans="8:12">
      <c r="H408" s="30"/>
      <c r="I408" s="30"/>
      <c r="L408" s="30"/>
    </row>
    <row r="409" ht="15.75" customHeight="1" spans="8:12">
      <c r="H409" s="30"/>
      <c r="I409" s="30"/>
      <c r="L409" s="30"/>
    </row>
    <row r="410" ht="15.75" customHeight="1" spans="8:12">
      <c r="H410" s="30"/>
      <c r="I410" s="30"/>
      <c r="L410" s="30"/>
    </row>
    <row r="411" ht="15.75" customHeight="1" spans="8:12">
      <c r="H411" s="30"/>
      <c r="I411" s="30"/>
      <c r="L411" s="30"/>
    </row>
    <row r="412" ht="15.75" customHeight="1" spans="8:12">
      <c r="H412" s="30"/>
      <c r="I412" s="30"/>
      <c r="L412" s="30"/>
    </row>
    <row r="413" ht="15.75" customHeight="1" spans="8:12">
      <c r="H413" s="30"/>
      <c r="I413" s="30"/>
      <c r="L413" s="30"/>
    </row>
    <row r="414" ht="15.75" customHeight="1" spans="8:12">
      <c r="H414" s="30"/>
      <c r="I414" s="30"/>
      <c r="L414" s="30"/>
    </row>
    <row r="415" ht="15.75" customHeight="1" spans="8:12">
      <c r="H415" s="30"/>
      <c r="I415" s="30"/>
      <c r="L415" s="30"/>
    </row>
    <row r="416" ht="15.75" customHeight="1" spans="8:12">
      <c r="H416" s="30"/>
      <c r="I416" s="30"/>
      <c r="L416" s="30"/>
    </row>
    <row r="417" ht="15.75" customHeight="1" spans="8:12">
      <c r="H417" s="30"/>
      <c r="I417" s="30"/>
      <c r="L417" s="30"/>
    </row>
    <row r="418" ht="15.75" customHeight="1" spans="8:12">
      <c r="H418" s="30"/>
      <c r="I418" s="30"/>
      <c r="L418" s="30"/>
    </row>
    <row r="419" ht="15.75" customHeight="1" spans="8:12">
      <c r="H419" s="30"/>
      <c r="I419" s="30"/>
      <c r="L419" s="30"/>
    </row>
    <row r="420" ht="15.75" customHeight="1" spans="8:12">
      <c r="H420" s="30"/>
      <c r="I420" s="30"/>
      <c r="L420" s="30"/>
    </row>
    <row r="421" ht="15.75" customHeight="1" spans="8:12">
      <c r="H421" s="30"/>
      <c r="I421" s="30"/>
      <c r="L421" s="30"/>
    </row>
    <row r="422" ht="15.75" customHeight="1" spans="8:12">
      <c r="H422" s="30"/>
      <c r="I422" s="30"/>
      <c r="L422" s="30"/>
    </row>
    <row r="423" ht="15.75" customHeight="1" spans="8:12">
      <c r="H423" s="30"/>
      <c r="I423" s="30"/>
      <c r="L423" s="30"/>
    </row>
    <row r="424" ht="15.75" customHeight="1" spans="8:12">
      <c r="H424" s="30"/>
      <c r="I424" s="30"/>
      <c r="L424" s="30"/>
    </row>
    <row r="425" ht="15.75" customHeight="1" spans="8:12">
      <c r="H425" s="30"/>
      <c r="I425" s="30"/>
      <c r="L425" s="30"/>
    </row>
    <row r="426" ht="15.75" customHeight="1" spans="8:12">
      <c r="H426" s="30"/>
      <c r="I426" s="30"/>
      <c r="L426" s="30"/>
    </row>
    <row r="427" ht="15.75" customHeight="1" spans="8:12">
      <c r="H427" s="30"/>
      <c r="I427" s="30"/>
      <c r="L427" s="30"/>
    </row>
    <row r="428" ht="15.75" customHeight="1" spans="8:12">
      <c r="H428" s="30"/>
      <c r="I428" s="30"/>
      <c r="L428" s="30"/>
    </row>
    <row r="429" ht="15.75" customHeight="1" spans="8:12">
      <c r="H429" s="30"/>
      <c r="I429" s="30"/>
      <c r="L429" s="30"/>
    </row>
    <row r="430" ht="15.75" customHeight="1" spans="8:12">
      <c r="H430" s="30"/>
      <c r="I430" s="30"/>
      <c r="L430" s="30"/>
    </row>
    <row r="431" ht="15.75" customHeight="1" spans="8:12">
      <c r="H431" s="30"/>
      <c r="I431" s="30"/>
      <c r="L431" s="30"/>
    </row>
    <row r="432" ht="15.75" customHeight="1" spans="8:12">
      <c r="H432" s="30"/>
      <c r="I432" s="30"/>
      <c r="L432" s="30"/>
    </row>
    <row r="433" ht="15.75" customHeight="1" spans="8:12">
      <c r="H433" s="30"/>
      <c r="I433" s="30"/>
      <c r="L433" s="30"/>
    </row>
    <row r="434" ht="15.75" customHeight="1" spans="8:12">
      <c r="H434" s="30"/>
      <c r="I434" s="30"/>
      <c r="L434" s="30"/>
    </row>
    <row r="435" ht="15.75" customHeight="1" spans="8:12">
      <c r="H435" s="30"/>
      <c r="I435" s="30"/>
      <c r="L435" s="30"/>
    </row>
    <row r="436" ht="15.75" customHeight="1" spans="8:12">
      <c r="H436" s="30"/>
      <c r="I436" s="30"/>
      <c r="L436" s="30"/>
    </row>
    <row r="437" ht="15.75" customHeight="1" spans="8:12">
      <c r="H437" s="30"/>
      <c r="I437" s="30"/>
      <c r="L437" s="30"/>
    </row>
    <row r="438" ht="15.75" customHeight="1" spans="8:12">
      <c r="H438" s="30"/>
      <c r="I438" s="30"/>
      <c r="L438" s="30"/>
    </row>
    <row r="439" ht="15.75" customHeight="1" spans="8:12">
      <c r="H439" s="30"/>
      <c r="I439" s="30"/>
      <c r="L439" s="30"/>
    </row>
    <row r="440" ht="15.75" customHeight="1" spans="8:12">
      <c r="H440" s="30"/>
      <c r="I440" s="30"/>
      <c r="L440" s="30"/>
    </row>
    <row r="441" ht="15.75" customHeight="1" spans="8:12">
      <c r="H441" s="30"/>
      <c r="I441" s="30"/>
      <c r="L441" s="30"/>
    </row>
    <row r="442" ht="15.75" customHeight="1" spans="8:12">
      <c r="H442" s="30"/>
      <c r="I442" s="30"/>
      <c r="L442" s="30"/>
    </row>
    <row r="443" ht="15.75" customHeight="1" spans="8:12">
      <c r="H443" s="30"/>
      <c r="I443" s="30"/>
      <c r="L443" s="30"/>
    </row>
    <row r="444" ht="15.75" customHeight="1" spans="8:12">
      <c r="H444" s="30"/>
      <c r="I444" s="30"/>
      <c r="L444" s="30"/>
    </row>
    <row r="445" ht="15.75" customHeight="1" spans="8:12">
      <c r="H445" s="30"/>
      <c r="I445" s="30"/>
      <c r="L445" s="30"/>
    </row>
    <row r="446" ht="15.75" customHeight="1" spans="8:12">
      <c r="H446" s="30"/>
      <c r="I446" s="30"/>
      <c r="L446" s="30"/>
    </row>
    <row r="447" ht="15.75" customHeight="1" spans="8:12">
      <c r="H447" s="30"/>
      <c r="I447" s="30"/>
      <c r="L447" s="30"/>
    </row>
    <row r="448" ht="15.75" customHeight="1" spans="8:12">
      <c r="H448" s="30"/>
      <c r="I448" s="30"/>
      <c r="L448" s="30"/>
    </row>
    <row r="449" ht="15.75" customHeight="1" spans="8:12">
      <c r="H449" s="30"/>
      <c r="I449" s="30"/>
      <c r="L449" s="30"/>
    </row>
    <row r="450" ht="15.75" customHeight="1" spans="8:12">
      <c r="H450" s="30"/>
      <c r="I450" s="30"/>
      <c r="L450" s="30"/>
    </row>
    <row r="451" ht="15.75" customHeight="1" spans="8:12">
      <c r="H451" s="30"/>
      <c r="I451" s="30"/>
      <c r="L451" s="30"/>
    </row>
    <row r="452" ht="15.75" customHeight="1" spans="8:12">
      <c r="H452" s="30"/>
      <c r="I452" s="30"/>
      <c r="L452" s="30"/>
    </row>
    <row r="453" ht="15.75" customHeight="1" spans="8:12">
      <c r="H453" s="30"/>
      <c r="I453" s="30"/>
      <c r="L453" s="30"/>
    </row>
    <row r="454" ht="15.75" customHeight="1" spans="8:12">
      <c r="H454" s="30"/>
      <c r="I454" s="30"/>
      <c r="L454" s="30"/>
    </row>
    <row r="455" ht="15.75" customHeight="1" spans="8:12">
      <c r="H455" s="30"/>
      <c r="I455" s="30"/>
      <c r="L455" s="30"/>
    </row>
    <row r="456" ht="15.75" customHeight="1" spans="8:12">
      <c r="H456" s="30"/>
      <c r="I456" s="30"/>
      <c r="L456" s="30"/>
    </row>
    <row r="457" ht="15.75" customHeight="1" spans="8:12">
      <c r="H457" s="30"/>
      <c r="I457" s="30"/>
      <c r="L457" s="30"/>
    </row>
    <row r="458" ht="15.75" customHeight="1" spans="8:12">
      <c r="H458" s="30"/>
      <c r="I458" s="30"/>
      <c r="L458" s="30"/>
    </row>
    <row r="459" ht="15.75" customHeight="1" spans="8:12">
      <c r="H459" s="30"/>
      <c r="I459" s="30"/>
      <c r="L459" s="30"/>
    </row>
    <row r="460" ht="15.75" customHeight="1" spans="8:12">
      <c r="H460" s="30"/>
      <c r="I460" s="30"/>
      <c r="L460" s="30"/>
    </row>
    <row r="461" ht="15.75" customHeight="1" spans="8:12">
      <c r="H461" s="30"/>
      <c r="I461" s="30"/>
      <c r="L461" s="30"/>
    </row>
    <row r="462" ht="15.75" customHeight="1" spans="8:12">
      <c r="H462" s="30"/>
      <c r="I462" s="30"/>
      <c r="L462" s="30"/>
    </row>
    <row r="463" ht="15.75" customHeight="1" spans="8:12">
      <c r="H463" s="30"/>
      <c r="I463" s="30"/>
      <c r="L463" s="30"/>
    </row>
    <row r="464" ht="15.75" customHeight="1" spans="8:12">
      <c r="H464" s="30"/>
      <c r="I464" s="30"/>
      <c r="L464" s="30"/>
    </row>
    <row r="465" ht="15.75" customHeight="1" spans="8:12">
      <c r="H465" s="30"/>
      <c r="I465" s="30"/>
      <c r="L465" s="30"/>
    </row>
    <row r="466" ht="15.75" customHeight="1" spans="8:12">
      <c r="H466" s="30"/>
      <c r="I466" s="30"/>
      <c r="L466" s="30"/>
    </row>
    <row r="467" ht="15.75" customHeight="1" spans="8:12">
      <c r="H467" s="30"/>
      <c r="I467" s="30"/>
      <c r="L467" s="30"/>
    </row>
    <row r="468" ht="15.75" customHeight="1" spans="8:12">
      <c r="H468" s="30"/>
      <c r="I468" s="30"/>
      <c r="L468" s="30"/>
    </row>
    <row r="469" ht="15.75" customHeight="1" spans="8:12">
      <c r="H469" s="30"/>
      <c r="I469" s="30"/>
      <c r="L469" s="30"/>
    </row>
    <row r="470" ht="15.75" customHeight="1" spans="8:12">
      <c r="H470" s="30"/>
      <c r="I470" s="30"/>
      <c r="L470" s="30"/>
    </row>
    <row r="471" ht="15.75" customHeight="1" spans="8:12">
      <c r="H471" s="30"/>
      <c r="I471" s="30"/>
      <c r="L471" s="30"/>
    </row>
    <row r="472" ht="15.75" customHeight="1" spans="8:12">
      <c r="H472" s="30"/>
      <c r="I472" s="30"/>
      <c r="L472" s="30"/>
    </row>
    <row r="473" ht="15.75" customHeight="1" spans="8:12">
      <c r="H473" s="30"/>
      <c r="I473" s="30"/>
      <c r="L473" s="30"/>
    </row>
    <row r="474" ht="15.75" customHeight="1" spans="8:12">
      <c r="H474" s="30"/>
      <c r="I474" s="30"/>
      <c r="L474" s="30"/>
    </row>
    <row r="475" ht="15.75" customHeight="1" spans="8:12">
      <c r="H475" s="30"/>
      <c r="I475" s="30"/>
      <c r="L475" s="30"/>
    </row>
    <row r="476" ht="15.75" customHeight="1" spans="8:12">
      <c r="H476" s="30"/>
      <c r="I476" s="30"/>
      <c r="L476" s="30"/>
    </row>
    <row r="477" ht="15.75" customHeight="1" spans="8:12">
      <c r="H477" s="30"/>
      <c r="I477" s="30"/>
      <c r="L477" s="30"/>
    </row>
    <row r="478" ht="15.75" customHeight="1" spans="8:12">
      <c r="H478" s="30"/>
      <c r="I478" s="30"/>
      <c r="L478" s="30"/>
    </row>
    <row r="479" ht="15.75" customHeight="1" spans="8:12">
      <c r="H479" s="30"/>
      <c r="I479" s="30"/>
      <c r="L479" s="30"/>
    </row>
    <row r="480" ht="15.75" customHeight="1" spans="8:12">
      <c r="H480" s="30"/>
      <c r="I480" s="30"/>
      <c r="L480" s="30"/>
    </row>
    <row r="481" ht="15.75" customHeight="1" spans="8:12">
      <c r="H481" s="30"/>
      <c r="I481" s="30"/>
      <c r="L481" s="30"/>
    </row>
    <row r="482" ht="15.75" customHeight="1" spans="8:12">
      <c r="H482" s="30"/>
      <c r="I482" s="30"/>
      <c r="L482" s="30"/>
    </row>
    <row r="483" ht="15.75" customHeight="1" spans="8:12">
      <c r="H483" s="30"/>
      <c r="I483" s="30"/>
      <c r="L483" s="30"/>
    </row>
    <row r="484" ht="15.75" customHeight="1" spans="8:12">
      <c r="H484" s="30"/>
      <c r="I484" s="30"/>
      <c r="L484" s="30"/>
    </row>
    <row r="485" ht="15.75" customHeight="1" spans="8:12">
      <c r="H485" s="30"/>
      <c r="I485" s="30"/>
      <c r="L485" s="30"/>
    </row>
    <row r="486" ht="15.75" customHeight="1" spans="8:12">
      <c r="H486" s="30"/>
      <c r="I486" s="30"/>
      <c r="L486" s="30"/>
    </row>
    <row r="487" ht="15.75" customHeight="1" spans="8:12">
      <c r="H487" s="30"/>
      <c r="I487" s="30"/>
      <c r="L487" s="30"/>
    </row>
    <row r="488" ht="15.75" customHeight="1" spans="8:12">
      <c r="H488" s="30"/>
      <c r="I488" s="30"/>
      <c r="L488" s="30"/>
    </row>
    <row r="489" ht="15.75" customHeight="1" spans="8:12">
      <c r="H489" s="30"/>
      <c r="I489" s="30"/>
      <c r="L489" s="30"/>
    </row>
    <row r="490" ht="15.75" customHeight="1" spans="8:12">
      <c r="H490" s="30"/>
      <c r="I490" s="30"/>
      <c r="L490" s="30"/>
    </row>
    <row r="491" ht="15.75" customHeight="1" spans="8:12">
      <c r="H491" s="30"/>
      <c r="I491" s="30"/>
      <c r="L491" s="30"/>
    </row>
    <row r="492" ht="15.75" customHeight="1" spans="8:12">
      <c r="H492" s="30"/>
      <c r="I492" s="30"/>
      <c r="L492" s="30"/>
    </row>
    <row r="493" ht="15.75" customHeight="1" spans="8:12">
      <c r="H493" s="30"/>
      <c r="I493" s="30"/>
      <c r="L493" s="30"/>
    </row>
    <row r="494" ht="15.75" customHeight="1" spans="8:12">
      <c r="H494" s="30"/>
      <c r="I494" s="30"/>
      <c r="L494" s="30"/>
    </row>
    <row r="495" ht="15.75" customHeight="1" spans="8:12">
      <c r="H495" s="30"/>
      <c r="I495" s="30"/>
      <c r="L495" s="30"/>
    </row>
    <row r="496" ht="15.75" customHeight="1" spans="8:12">
      <c r="H496" s="30"/>
      <c r="I496" s="30"/>
      <c r="L496" s="30"/>
    </row>
    <row r="497" ht="15.75" customHeight="1" spans="8:12">
      <c r="H497" s="30"/>
      <c r="I497" s="30"/>
      <c r="L497" s="30"/>
    </row>
    <row r="498" ht="15.75" customHeight="1" spans="8:12">
      <c r="H498" s="30"/>
      <c r="I498" s="30"/>
      <c r="L498" s="30"/>
    </row>
    <row r="499" ht="15.75" customHeight="1" spans="8:12">
      <c r="H499" s="30"/>
      <c r="I499" s="30"/>
      <c r="L499" s="30"/>
    </row>
    <row r="500" ht="15.75" customHeight="1" spans="8:12">
      <c r="H500" s="30"/>
      <c r="I500" s="30"/>
      <c r="L500" s="30"/>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O7" etc:filterBottomFollowUsedRange="0">
    <extLst/>
  </autoFilter>
  <conditionalFormatting sqref="H2:H1000">
    <cfRule type="cellIs" dxfId="2" priority="1" operator="equal">
      <formula>"Critical"</formula>
    </cfRule>
    <cfRule type="cellIs" dxfId="3" priority="2" operator="equal">
      <formula>"High"</formula>
    </cfRule>
    <cfRule type="cellIs" dxfId="4" priority="3" operator="equal">
      <formula>"Medium"</formula>
    </cfRule>
    <cfRule type="cellIs" dxfId="0" priority="4" operator="equal">
      <formula>"Low"</formula>
    </cfRule>
  </conditionalFormatting>
  <dataValidations count="3">
    <dataValidation type="list" allowBlank="1" sqref="H2:H500">
      <formula1>"Critical,High,Medium,Low"</formula1>
    </dataValidation>
    <dataValidation type="list" allowBlank="1" sqref="I2:I500">
      <formula1>"P1,P2,P3"</formula1>
    </dataValidation>
    <dataValidation type="list" allowBlank="1" sqref="L2:L500">
      <formula1>"New,Open,Confirmed,Fixed,Closed,Rejected"</formula1>
    </dataValidation>
  </dataValidations>
  <hyperlinks>
    <hyperlink ref="K2" r:id="rId1" display="View evidence"/>
    <hyperlink ref="K3" r:id="rId2" display="View evidence"/>
    <hyperlink ref="K4" r:id="rId3" display="View evidence"/>
    <hyperlink ref="K5" r:id="rId4" display="View evidence"/>
    <hyperlink ref="K6" r:id="rId5" display="View evidence"/>
    <hyperlink ref="K7" r:id="rId6" display="View evidence"/>
  </hyperlinks>
  <pageMargins left="0.75" right="0.75" top="1" bottom="1" header="0" footer="0"/>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pageSetUpPr fitToPage="1"/>
  </sheetPr>
  <dimension ref="A1:I1000"/>
  <sheetViews>
    <sheetView showGridLines="0" workbookViewId="0">
      <pane ySplit="4" topLeftCell="A5" activePane="bottomLeft" state="frozen"/>
      <selection/>
      <selection pane="bottomLeft" activeCell="B6" sqref="B6"/>
    </sheetView>
  </sheetViews>
  <sheetFormatPr defaultColWidth="14.4285714285714" defaultRowHeight="15" customHeight="1"/>
  <cols>
    <col min="1" max="1" width="10" customWidth="1"/>
    <col min="2" max="2" width="22" customWidth="1"/>
    <col min="3" max="3" width="62" customWidth="1"/>
    <col min="4" max="4" width="14" customWidth="1"/>
    <col min="5" max="7" width="10" customWidth="1"/>
    <col min="8" max="8" width="13" customWidth="1"/>
    <col min="9" max="9" width="36" customWidth="1"/>
    <col min="10" max="26" width="8.71428571428571" customWidth="1"/>
  </cols>
  <sheetData>
    <row r="1" ht="33.75" customHeight="1" spans="1:9">
      <c r="A1" s="1" t="s">
        <v>355</v>
      </c>
      <c r="B1" s="2"/>
      <c r="C1" s="2"/>
      <c r="D1" s="2"/>
      <c r="E1" s="2"/>
      <c r="F1" s="2"/>
      <c r="G1" s="2"/>
      <c r="H1" s="2"/>
      <c r="I1" s="2"/>
    </row>
    <row r="2" ht="19.5" customHeight="1" spans="1:9">
      <c r="A2" s="3" t="s">
        <v>356</v>
      </c>
      <c r="B2" s="2"/>
      <c r="C2" s="2"/>
      <c r="D2" s="2"/>
      <c r="E2" s="2"/>
      <c r="F2" s="2"/>
      <c r="G2" s="2"/>
      <c r="H2" s="2"/>
      <c r="I2" s="2"/>
    </row>
    <row r="3" ht="21.75" customHeight="1" spans="1:9">
      <c r="A3" s="22" t="s">
        <v>357</v>
      </c>
    </row>
    <row r="4" ht="30" customHeight="1" spans="1:9">
      <c r="A4" s="15" t="s">
        <v>146</v>
      </c>
      <c r="B4" s="15" t="s">
        <v>138</v>
      </c>
      <c r="C4" s="15" t="s">
        <v>358</v>
      </c>
      <c r="D4" s="15" t="s">
        <v>359</v>
      </c>
      <c r="E4" s="15" t="s">
        <v>360</v>
      </c>
      <c r="F4" s="15" t="s">
        <v>361</v>
      </c>
      <c r="G4" s="15" t="s">
        <v>362</v>
      </c>
      <c r="H4" s="15" t="s">
        <v>10</v>
      </c>
      <c r="I4" s="15" t="s">
        <v>363</v>
      </c>
    </row>
    <row r="5" spans="1:9">
      <c r="A5" s="23" t="s">
        <v>158</v>
      </c>
      <c r="B5" s="24" t="s">
        <v>149</v>
      </c>
      <c r="C5" s="24" t="s">
        <v>364</v>
      </c>
      <c r="D5" s="25" t="s">
        <v>148</v>
      </c>
      <c r="E5" s="25">
        <f>COUNTIF('Test Cases'!$L$2:$L$500,A5)</f>
        <v>1</v>
      </c>
      <c r="F5" s="25">
        <f>COUNTIFS('Test Cases'!$L$2:$L$500,A5,'Test Cases'!$I$2:$I$500,"Pass")</f>
        <v>1</v>
      </c>
      <c r="G5" s="25">
        <f>COUNTIFS('Test Cases'!$L$2:$L$500,A5,'Test Cases'!$I$2:$I$500,"Fail")</f>
        <v>0</v>
      </c>
      <c r="H5" s="25" t="str">
        <f t="shared" ref="H5:H22" si="0">IF(E5=0,"Not Covered",IF(G5&gt;0,"Fail",IF(F5=E5,"Pass","In Progress")))</f>
        <v>Pass</v>
      </c>
      <c r="I5" s="24" t="s">
        <v>159</v>
      </c>
    </row>
    <row r="6" spans="1:9">
      <c r="A6" s="23" t="s">
        <v>165</v>
      </c>
      <c r="B6" s="24" t="s">
        <v>149</v>
      </c>
      <c r="C6" s="24" t="s">
        <v>365</v>
      </c>
      <c r="D6" s="25" t="s">
        <v>366</v>
      </c>
      <c r="E6" s="25">
        <f>COUNTIF('Test Cases'!$L$2:$L$500,A6)</f>
        <v>2</v>
      </c>
      <c r="F6" s="25">
        <f>COUNTIFS('Test Cases'!$L$2:$L$500,A6,'Test Cases'!$I$2:$I$500,"Pass")</f>
        <v>2</v>
      </c>
      <c r="G6" s="25">
        <f>COUNTIFS('Test Cases'!$L$2:$L$500,A6,'Test Cases'!$I$2:$I$500,"Fail")</f>
        <v>0</v>
      </c>
      <c r="H6" s="25" t="str">
        <f t="shared" si="0"/>
        <v>Pass</v>
      </c>
      <c r="I6" s="24" t="s">
        <v>159</v>
      </c>
    </row>
    <row r="7" ht="25.5" spans="1:9">
      <c r="A7" s="23" t="s">
        <v>174</v>
      </c>
      <c r="B7" s="24" t="s">
        <v>149</v>
      </c>
      <c r="C7" s="24" t="s">
        <v>367</v>
      </c>
      <c r="D7" s="25" t="s">
        <v>368</v>
      </c>
      <c r="E7" s="25">
        <f>COUNTIF('Test Cases'!$L$2:$L$500,A7)</f>
        <v>3</v>
      </c>
      <c r="F7" s="25">
        <f>COUNTIFS('Test Cases'!$L$2:$L$500,A7,'Test Cases'!$I$2:$I$500,"Pass")</f>
        <v>3</v>
      </c>
      <c r="G7" s="25">
        <f>COUNTIFS('Test Cases'!$L$2:$L$500,A7,'Test Cases'!$I$2:$I$500,"Fail")</f>
        <v>0</v>
      </c>
      <c r="H7" s="25" t="str">
        <f t="shared" si="0"/>
        <v>Pass</v>
      </c>
      <c r="I7" s="24" t="s">
        <v>159</v>
      </c>
    </row>
    <row r="8" spans="1:9">
      <c r="A8" s="23" t="s">
        <v>188</v>
      </c>
      <c r="B8" s="24" t="s">
        <v>149</v>
      </c>
      <c r="C8" s="24" t="s">
        <v>369</v>
      </c>
      <c r="D8" s="25" t="s">
        <v>78</v>
      </c>
      <c r="E8" s="25">
        <f>COUNTIF('Test Cases'!$L$2:$L$500,A8)</f>
        <v>1</v>
      </c>
      <c r="F8" s="25">
        <f>COUNTIFS('Test Cases'!$L$2:$L$500,A8,'Test Cases'!$I$2:$I$500,"Pass")</f>
        <v>1</v>
      </c>
      <c r="G8" s="25">
        <f>COUNTIFS('Test Cases'!$L$2:$L$500,A8,'Test Cases'!$I$2:$I$500,"Fail")</f>
        <v>0</v>
      </c>
      <c r="H8" s="25" t="str">
        <f t="shared" si="0"/>
        <v>Pass</v>
      </c>
      <c r="I8" s="24" t="s">
        <v>159</v>
      </c>
    </row>
    <row r="9" spans="1:9">
      <c r="A9" s="23" t="s">
        <v>193</v>
      </c>
      <c r="B9" s="24" t="s">
        <v>149</v>
      </c>
      <c r="C9" s="24" t="s">
        <v>370</v>
      </c>
      <c r="D9" s="25" t="s">
        <v>189</v>
      </c>
      <c r="E9" s="25">
        <f>COUNTIF('Test Cases'!$L$2:$L$500,A9)</f>
        <v>1</v>
      </c>
      <c r="F9" s="25">
        <f>COUNTIFS('Test Cases'!$L$2:$L$500,A9,'Test Cases'!$I$2:$I$500,"Pass")</f>
        <v>1</v>
      </c>
      <c r="G9" s="25">
        <f>COUNTIFS('Test Cases'!$L$2:$L$500,A9,'Test Cases'!$I$2:$I$500,"Fail")</f>
        <v>0</v>
      </c>
      <c r="H9" s="25" t="str">
        <f t="shared" si="0"/>
        <v>Pass</v>
      </c>
      <c r="I9" s="24" t="s">
        <v>159</v>
      </c>
    </row>
    <row r="10" spans="1:9">
      <c r="A10" s="23" t="s">
        <v>201</v>
      </c>
      <c r="B10" s="24" t="s">
        <v>195</v>
      </c>
      <c r="C10" s="24" t="s">
        <v>371</v>
      </c>
      <c r="D10" s="25" t="s">
        <v>194</v>
      </c>
      <c r="E10" s="25">
        <f>COUNTIF('Test Cases'!$L$2:$L$500,A10)</f>
        <v>1</v>
      </c>
      <c r="F10" s="25">
        <f>COUNTIFS('Test Cases'!$L$2:$L$500,A10,'Test Cases'!$I$2:$I$500,"Pass")</f>
        <v>1</v>
      </c>
      <c r="G10" s="25">
        <f>COUNTIFS('Test Cases'!$L$2:$L$500,A10,'Test Cases'!$I$2:$I$500,"Fail")</f>
        <v>0</v>
      </c>
      <c r="H10" s="25" t="str">
        <f t="shared" si="0"/>
        <v>Pass</v>
      </c>
      <c r="I10" s="24" t="s">
        <v>372</v>
      </c>
    </row>
    <row r="11" spans="1:9">
      <c r="A11" s="23" t="s">
        <v>206</v>
      </c>
      <c r="B11" s="24" t="s">
        <v>195</v>
      </c>
      <c r="C11" s="24" t="s">
        <v>373</v>
      </c>
      <c r="D11" s="25" t="s">
        <v>374</v>
      </c>
      <c r="E11" s="25">
        <f>COUNTIF('Test Cases'!$L$2:$L$500,A11)</f>
        <v>4</v>
      </c>
      <c r="F11" s="25">
        <f>COUNTIFS('Test Cases'!$L$2:$L$500,A11,'Test Cases'!$I$2:$I$500,"Pass")</f>
        <v>4</v>
      </c>
      <c r="G11" s="25">
        <f>COUNTIFS('Test Cases'!$L$2:$L$500,A11,'Test Cases'!$I$2:$I$500,"Fail")</f>
        <v>0</v>
      </c>
      <c r="H11" s="25" t="str">
        <f t="shared" si="0"/>
        <v>Pass</v>
      </c>
      <c r="I11" s="24" t="s">
        <v>375</v>
      </c>
    </row>
    <row r="12" spans="1:9">
      <c r="A12" s="23" t="s">
        <v>225</v>
      </c>
      <c r="B12" s="24" t="s">
        <v>221</v>
      </c>
      <c r="C12" s="24" t="s">
        <v>376</v>
      </c>
      <c r="D12" s="25" t="s">
        <v>377</v>
      </c>
      <c r="E12" s="25">
        <f>COUNTIF('Test Cases'!$L$2:$L$500,A12)</f>
        <v>2</v>
      </c>
      <c r="F12" s="25">
        <f>COUNTIFS('Test Cases'!$L$2:$L$500,A12,'Test Cases'!$I$2:$I$500,"Pass")</f>
        <v>2</v>
      </c>
      <c r="G12" s="25">
        <f>COUNTIFS('Test Cases'!$L$2:$L$500,A12,'Test Cases'!$I$2:$I$500,"Fail")</f>
        <v>0</v>
      </c>
      <c r="H12" s="25" t="str">
        <f t="shared" si="0"/>
        <v>Pass</v>
      </c>
      <c r="I12" s="24" t="s">
        <v>159</v>
      </c>
    </row>
    <row r="13" spans="1:9">
      <c r="A13" s="23" t="s">
        <v>236</v>
      </c>
      <c r="B13" s="24" t="s">
        <v>221</v>
      </c>
      <c r="C13" s="24" t="s">
        <v>378</v>
      </c>
      <c r="D13" s="25" t="s">
        <v>231</v>
      </c>
      <c r="E13" s="25">
        <f>COUNTIF('Test Cases'!$L$2:$L$500,A13)</f>
        <v>1</v>
      </c>
      <c r="F13" s="25">
        <f>COUNTIFS('Test Cases'!$L$2:$L$500,A13,'Test Cases'!$I$2:$I$500,"Pass")</f>
        <v>1</v>
      </c>
      <c r="G13" s="25">
        <f>COUNTIFS('Test Cases'!$L$2:$L$500,A13,'Test Cases'!$I$2:$I$500,"Fail")</f>
        <v>0</v>
      </c>
      <c r="H13" s="25" t="str">
        <f t="shared" si="0"/>
        <v>Pass</v>
      </c>
      <c r="I13" s="24" t="s">
        <v>379</v>
      </c>
    </row>
    <row r="14" spans="1:9">
      <c r="A14" s="23" t="s">
        <v>241</v>
      </c>
      <c r="B14" s="24" t="s">
        <v>221</v>
      </c>
      <c r="C14" s="24" t="s">
        <v>380</v>
      </c>
      <c r="D14" s="25" t="s">
        <v>237</v>
      </c>
      <c r="E14" s="25">
        <f>COUNTIF('Test Cases'!$L$2:$L$500,A14)</f>
        <v>1</v>
      </c>
      <c r="F14" s="25">
        <f>COUNTIFS('Test Cases'!$L$2:$L$500,A14,'Test Cases'!$I$2:$I$500,"Pass")</f>
        <v>1</v>
      </c>
      <c r="G14" s="25">
        <f>COUNTIFS('Test Cases'!$L$2:$L$500,A14,'Test Cases'!$I$2:$I$500,"Fail")</f>
        <v>0</v>
      </c>
      <c r="H14" s="25" t="str">
        <f t="shared" si="0"/>
        <v>Pass</v>
      </c>
      <c r="I14" s="24" t="s">
        <v>159</v>
      </c>
    </row>
    <row r="15" spans="1:9">
      <c r="A15" s="23" t="s">
        <v>247</v>
      </c>
      <c r="B15" s="24" t="s">
        <v>221</v>
      </c>
      <c r="C15" s="24" t="s">
        <v>381</v>
      </c>
      <c r="D15" s="25" t="s">
        <v>242</v>
      </c>
      <c r="E15" s="25">
        <f>COUNTIF('Test Cases'!$L$2:$L$500,A15)</f>
        <v>1</v>
      </c>
      <c r="F15" s="25">
        <f>COUNTIFS('Test Cases'!$L$2:$L$500,A15,'Test Cases'!$I$2:$I$500,"Pass")</f>
        <v>1</v>
      </c>
      <c r="G15" s="25">
        <f>COUNTIFS('Test Cases'!$L$2:$L$500,A15,'Test Cases'!$I$2:$I$500,"Fail")</f>
        <v>0</v>
      </c>
      <c r="H15" s="25" t="str">
        <f t="shared" si="0"/>
        <v>Pass</v>
      </c>
      <c r="I15" s="24" t="s">
        <v>159</v>
      </c>
    </row>
    <row r="16" spans="1:9">
      <c r="A16" s="23" t="s">
        <v>256</v>
      </c>
      <c r="B16" s="24" t="s">
        <v>221</v>
      </c>
      <c r="C16" s="24" t="s">
        <v>382</v>
      </c>
      <c r="D16" s="25" t="s">
        <v>248</v>
      </c>
      <c r="E16" s="25">
        <f>COUNTIF('Test Cases'!$L$2:$L$500,A16)</f>
        <v>1</v>
      </c>
      <c r="F16" s="25">
        <f>COUNTIFS('Test Cases'!$L$2:$L$500,A16,'Test Cases'!$I$2:$I$500,"Pass")</f>
        <v>0</v>
      </c>
      <c r="G16" s="25">
        <f>COUNTIFS('Test Cases'!$L$2:$L$500,A16,'Test Cases'!$I$2:$I$500,"Fail")</f>
        <v>1</v>
      </c>
      <c r="H16" s="25" t="str">
        <f t="shared" si="0"/>
        <v>Fail</v>
      </c>
      <c r="I16" s="24" t="s">
        <v>257</v>
      </c>
    </row>
    <row r="17" spans="1:9">
      <c r="A17" s="23" t="s">
        <v>264</v>
      </c>
      <c r="B17" s="24" t="s">
        <v>258</v>
      </c>
      <c r="C17" s="24" t="s">
        <v>383</v>
      </c>
      <c r="D17" s="25" t="s">
        <v>112</v>
      </c>
      <c r="E17" s="25">
        <f>COUNTIF('Test Cases'!$L$2:$L$500,A17)</f>
        <v>1</v>
      </c>
      <c r="F17" s="25">
        <f>COUNTIFS('Test Cases'!$L$2:$L$500,A17,'Test Cases'!$I$2:$I$500,"Pass")</f>
        <v>1</v>
      </c>
      <c r="G17" s="25">
        <f>COUNTIFS('Test Cases'!$L$2:$L$500,A17,'Test Cases'!$I$2:$I$500,"Fail")</f>
        <v>0</v>
      </c>
      <c r="H17" s="25" t="str">
        <f t="shared" si="0"/>
        <v>Pass</v>
      </c>
      <c r="I17" s="24" t="s">
        <v>384</v>
      </c>
    </row>
    <row r="18" ht="25.5" spans="1:9">
      <c r="A18" s="23" t="s">
        <v>270</v>
      </c>
      <c r="B18" s="24" t="s">
        <v>258</v>
      </c>
      <c r="C18" s="24" t="s">
        <v>385</v>
      </c>
      <c r="D18" s="25" t="s">
        <v>386</v>
      </c>
      <c r="E18" s="25">
        <f>COUNTIF('Test Cases'!$L$2:$L$500,A18)</f>
        <v>4</v>
      </c>
      <c r="F18" s="25">
        <f>COUNTIFS('Test Cases'!$L$2:$L$500,A18,'Test Cases'!$I$2:$I$500,"Pass")</f>
        <v>4</v>
      </c>
      <c r="G18" s="25">
        <f>COUNTIFS('Test Cases'!$L$2:$L$500,A18,'Test Cases'!$I$2:$I$500,"Fail")</f>
        <v>0</v>
      </c>
      <c r="H18" s="25" t="str">
        <f t="shared" si="0"/>
        <v>Pass</v>
      </c>
      <c r="I18" s="24" t="s">
        <v>159</v>
      </c>
    </row>
    <row r="19" spans="1:9">
      <c r="A19" s="23" t="s">
        <v>289</v>
      </c>
      <c r="B19" s="24" t="s">
        <v>258</v>
      </c>
      <c r="C19" s="24" t="s">
        <v>387</v>
      </c>
      <c r="D19" s="25" t="s">
        <v>283</v>
      </c>
      <c r="E19" s="25">
        <f>COUNTIF('Test Cases'!$L$2:$L$500,A19)</f>
        <v>1</v>
      </c>
      <c r="F19" s="25">
        <f>COUNTIFS('Test Cases'!$L$2:$L$500,A19,'Test Cases'!$I$2:$I$500,"Pass")</f>
        <v>0</v>
      </c>
      <c r="G19" s="25">
        <f>COUNTIFS('Test Cases'!$L$2:$L$500,A19,'Test Cases'!$I$2:$I$500,"Fail")</f>
        <v>1</v>
      </c>
      <c r="H19" s="25" t="str">
        <f t="shared" si="0"/>
        <v>Fail</v>
      </c>
      <c r="I19" s="24" t="s">
        <v>290</v>
      </c>
    </row>
    <row r="20" spans="1:9">
      <c r="A20" s="23" t="s">
        <v>298</v>
      </c>
      <c r="B20" s="24" t="s">
        <v>258</v>
      </c>
      <c r="C20" s="24" t="s">
        <v>388</v>
      </c>
      <c r="D20" s="25" t="s">
        <v>291</v>
      </c>
      <c r="E20" s="25">
        <f>COUNTIF('Test Cases'!$L$2:$L$500,A20)</f>
        <v>1</v>
      </c>
      <c r="F20" s="25">
        <f>COUNTIFS('Test Cases'!$L$2:$L$500,A20,'Test Cases'!$I$2:$I$500,"Pass")</f>
        <v>1</v>
      </c>
      <c r="G20" s="25">
        <f>COUNTIFS('Test Cases'!$L$2:$L$500,A20,'Test Cases'!$I$2:$I$500,"Fail")</f>
        <v>0</v>
      </c>
      <c r="H20" s="25" t="str">
        <f t="shared" si="0"/>
        <v>Pass</v>
      </c>
      <c r="I20" s="24" t="s">
        <v>159</v>
      </c>
    </row>
    <row r="21" ht="15.75" customHeight="1" spans="1:9">
      <c r="A21" s="23" t="s">
        <v>305</v>
      </c>
      <c r="B21" s="24" t="s">
        <v>258</v>
      </c>
      <c r="C21" s="24" t="s">
        <v>389</v>
      </c>
      <c r="D21" s="25" t="s">
        <v>299</v>
      </c>
      <c r="E21" s="25">
        <f>COUNTIF('Test Cases'!$L$2:$L$500,A21)</f>
        <v>1</v>
      </c>
      <c r="F21" s="25">
        <f>COUNTIFS('Test Cases'!$L$2:$L$500,A21,'Test Cases'!$I$2:$I$500,"Pass")</f>
        <v>1</v>
      </c>
      <c r="G21" s="25">
        <f>COUNTIFS('Test Cases'!$L$2:$L$500,A21,'Test Cases'!$I$2:$I$500,"Fail")</f>
        <v>0</v>
      </c>
      <c r="H21" s="25" t="str">
        <f t="shared" si="0"/>
        <v>Pass</v>
      </c>
      <c r="I21" s="24" t="s">
        <v>159</v>
      </c>
    </row>
    <row r="22" ht="15.75" customHeight="1" spans="1:9">
      <c r="A22" s="23" t="s">
        <v>311</v>
      </c>
      <c r="B22" s="24" t="s">
        <v>258</v>
      </c>
      <c r="C22" s="24" t="s">
        <v>390</v>
      </c>
      <c r="D22" s="25" t="s">
        <v>306</v>
      </c>
      <c r="E22" s="25">
        <f>COUNTIF('Test Cases'!$L$2:$L$500,A22)</f>
        <v>1</v>
      </c>
      <c r="F22" s="25">
        <f>COUNTIFS('Test Cases'!$L$2:$L$500,A22,'Test Cases'!$I$2:$I$500,"Pass")</f>
        <v>1</v>
      </c>
      <c r="G22" s="25">
        <f>COUNTIFS('Test Cases'!$L$2:$L$500,A22,'Test Cases'!$I$2:$I$500,"Fail")</f>
        <v>0</v>
      </c>
      <c r="H22" s="25" t="str">
        <f t="shared" si="0"/>
        <v>Pass</v>
      </c>
      <c r="I22" s="24" t="s">
        <v>159</v>
      </c>
    </row>
    <row r="23" ht="15.75" customHeight="1" spans="1:9">
      <c r="D23" s="26" t="s">
        <v>391</v>
      </c>
      <c r="E23" s="27">
        <f t="shared" ref="E23:G23" si="1">SUM(E5:E22)</f>
        <v>28</v>
      </c>
      <c r="F23" s="27">
        <f t="shared" si="1"/>
        <v>26</v>
      </c>
      <c r="G23" s="27">
        <f t="shared" si="1"/>
        <v>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3:I3"/>
  </mergeCells>
  <conditionalFormatting sqref="H5:H22">
    <cfRule type="cellIs" dxfId="0" priority="1" operator="equal">
      <formula>"Pass"</formula>
    </cfRule>
    <cfRule type="cellIs" dxfId="1" priority="2" operator="equal">
      <formula>"Fail"</formula>
    </cfRule>
    <cfRule type="cellIs" dxfId="5" priority="3" operator="equal">
      <formula>"Not Covered"</formula>
    </cfRule>
  </conditionalFormatting>
  <pageMargins left="0.75" right="0.75" top="1" bottom="1" header="0" footer="0"/>
  <pageSetup paperSize="1"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pageSetUpPr fitToPage="1"/>
  </sheetPr>
  <dimension ref="A1:E1000"/>
  <sheetViews>
    <sheetView showGridLines="0" tabSelected="1" topLeftCell="A51" workbookViewId="0">
      <selection activeCell="A1" sqref="A1:E1"/>
    </sheetView>
  </sheetViews>
  <sheetFormatPr defaultColWidth="14.4285714285714" defaultRowHeight="15" customHeight="1" outlineLevelCol="4"/>
  <cols>
    <col min="1" max="1" width="34" customWidth="1"/>
    <col min="2" max="2" width="16" customWidth="1"/>
    <col min="3" max="5" width="14" customWidth="1"/>
    <col min="6" max="6" width="3" customWidth="1"/>
    <col min="7" max="26" width="8.71428571428571" customWidth="1"/>
  </cols>
  <sheetData>
    <row r="1" ht="33.75" customHeight="1" spans="1:5">
      <c r="A1" s="1" t="s">
        <v>392</v>
      </c>
      <c r="B1" s="2"/>
      <c r="C1" s="2"/>
      <c r="D1" s="2"/>
      <c r="E1" s="2"/>
    </row>
    <row r="2" ht="19.5" customHeight="1" spans="1:5">
      <c r="A2" s="3" t="s">
        <v>393</v>
      </c>
      <c r="B2" s="2"/>
      <c r="C2" s="2"/>
      <c r="D2" s="2"/>
      <c r="E2" s="2"/>
    </row>
    <row r="4" ht="21.75" customHeight="1" spans="1:5">
      <c r="A4" s="4" t="s">
        <v>394</v>
      </c>
      <c r="B4" s="2"/>
      <c r="C4" s="2"/>
      <c r="D4" s="2"/>
      <c r="E4" s="2"/>
    </row>
    <row r="5" spans="1:5">
      <c r="A5" s="5" t="s">
        <v>395</v>
      </c>
      <c r="B5" s="6" t="s">
        <v>396</v>
      </c>
      <c r="C5" s="7"/>
      <c r="D5" s="7"/>
      <c r="E5" s="8"/>
    </row>
    <row r="6" spans="1:5">
      <c r="A6" s="5" t="s">
        <v>397</v>
      </c>
      <c r="B6" s="6" t="s">
        <v>6</v>
      </c>
      <c r="C6" s="7"/>
      <c r="D6" s="7"/>
      <c r="E6" s="8"/>
    </row>
    <row r="7" spans="1:5">
      <c r="A7" s="5" t="s">
        <v>398</v>
      </c>
      <c r="B7" s="6" t="s">
        <v>399</v>
      </c>
      <c r="C7" s="7"/>
      <c r="D7" s="7"/>
      <c r="E7" s="8"/>
    </row>
    <row r="8" spans="1:5">
      <c r="A8" s="5" t="s">
        <v>30</v>
      </c>
      <c r="B8" s="6" t="s">
        <v>31</v>
      </c>
      <c r="C8" s="7"/>
      <c r="D8" s="7"/>
      <c r="E8" s="8"/>
    </row>
    <row r="9" spans="1:5">
      <c r="A9" s="5" t="s">
        <v>400</v>
      </c>
      <c r="B9" s="9">
        <v>46293</v>
      </c>
      <c r="C9" s="7"/>
      <c r="D9" s="7"/>
      <c r="E9" s="8"/>
    </row>
    <row r="10" spans="1:5">
      <c r="A10" s="5" t="s">
        <v>401</v>
      </c>
      <c r="B10" s="10" t="s">
        <v>60</v>
      </c>
      <c r="C10" s="7"/>
      <c r="D10" s="7"/>
      <c r="E10" s="8"/>
    </row>
    <row r="12" ht="21.75" customHeight="1" spans="1:5">
      <c r="A12" s="4" t="s">
        <v>402</v>
      </c>
      <c r="B12" s="2"/>
      <c r="C12" s="2"/>
      <c r="D12" s="2"/>
      <c r="E12" s="2"/>
    </row>
    <row r="13" spans="1:5">
      <c r="A13" s="5" t="s">
        <v>403</v>
      </c>
      <c r="B13" s="11">
        <f>COUNTA('Test Cases'!$A$2:$A$500)</f>
        <v>28</v>
      </c>
    </row>
    <row r="14" spans="1:5">
      <c r="A14" s="5" t="s">
        <v>361</v>
      </c>
      <c r="B14" s="12">
        <f>COUNTIF('Test Cases'!$I$2:$I$500,"Pass")</f>
        <v>26</v>
      </c>
    </row>
    <row r="15" spans="1:5">
      <c r="A15" s="5" t="s">
        <v>362</v>
      </c>
      <c r="B15" s="12">
        <f>COUNTIF('Test Cases'!$I$2:$I$500,"Fail")</f>
        <v>2</v>
      </c>
    </row>
    <row r="16" spans="1:5">
      <c r="A16" s="5" t="s">
        <v>404</v>
      </c>
      <c r="B16" s="12">
        <f>B13-B14-B15</f>
        <v>0</v>
      </c>
    </row>
    <row r="17" spans="1:5">
      <c r="A17" s="5" t="s">
        <v>405</v>
      </c>
      <c r="B17" s="13">
        <f>IFERROR(B14/(B14+B15),0)</f>
        <v>0.928571428571429</v>
      </c>
    </row>
    <row r="18" spans="1:5">
      <c r="A18" s="5" t="s">
        <v>406</v>
      </c>
      <c r="B18" s="14">
        <f>IFERROR((B14+B15)/B13,0)</f>
        <v>1</v>
      </c>
    </row>
    <row r="19" spans="1:5">
      <c r="A19" s="5" t="s">
        <v>407</v>
      </c>
      <c r="B19" s="12" t="e">
        <f>COUNTIF('[1]#REF'!$F$4:$F$31,"Yes")&amp;" / "&amp;COUNTA('[1]#REF'!$A$4:$A$31)</f>
        <v>#VALUE!</v>
      </c>
    </row>
    <row r="21" ht="21.75" customHeight="1" spans="1:5">
      <c r="A21" s="4" t="s">
        <v>408</v>
      </c>
      <c r="B21" s="2"/>
      <c r="C21" s="2"/>
      <c r="D21" s="2"/>
      <c r="E21" s="2"/>
    </row>
    <row r="22" ht="15.75" customHeight="1" spans="1:5">
      <c r="A22" s="15" t="s">
        <v>138</v>
      </c>
      <c r="B22" s="15" t="s">
        <v>391</v>
      </c>
      <c r="C22" s="15" t="s">
        <v>361</v>
      </c>
      <c r="D22" s="15" t="s">
        <v>362</v>
      </c>
      <c r="E22" s="15" t="s">
        <v>409</v>
      </c>
    </row>
    <row r="23" ht="15.75" customHeight="1" spans="1:5">
      <c r="A23" s="16" t="s">
        <v>149</v>
      </c>
      <c r="B23" s="12">
        <f>COUNTIF('Test Cases'!$B$2:$B$500,A23)</f>
        <v>8</v>
      </c>
      <c r="C23" s="12">
        <f>COUNTIFS('Test Cases'!$B$2:$B$500,A23,'Test Cases'!$I$2:$I$500,"Pass")</f>
        <v>8</v>
      </c>
      <c r="D23" s="12">
        <f>COUNTIFS('Test Cases'!$B$2:$B$500,A23,'Test Cases'!$I$2:$I$500,"Fail")</f>
        <v>0</v>
      </c>
      <c r="E23" s="14">
        <f t="shared" ref="E23:E27" si="0">IFERROR(C23/(C23+D23),0)</f>
        <v>1</v>
      </c>
    </row>
    <row r="24" ht="15.75" customHeight="1" spans="1:5">
      <c r="A24" s="16" t="s">
        <v>195</v>
      </c>
      <c r="B24" s="12">
        <f>COUNTIF('Test Cases'!$B$2:$B$500,A24)</f>
        <v>5</v>
      </c>
      <c r="C24" s="12">
        <f>COUNTIFS('Test Cases'!$B$2:$B$500,A24,'Test Cases'!$I$2:$I$500,"Pass")</f>
        <v>5</v>
      </c>
      <c r="D24" s="12">
        <f>COUNTIFS('Test Cases'!$B$2:$B$500,A24,'Test Cases'!$I$2:$I$500,"Fail")</f>
        <v>0</v>
      </c>
      <c r="E24" s="14">
        <f t="shared" si="0"/>
        <v>1</v>
      </c>
    </row>
    <row r="25" ht="15.75" customHeight="1" spans="1:5">
      <c r="A25" s="16" t="s">
        <v>221</v>
      </c>
      <c r="B25" s="12">
        <f>COUNTIF('Test Cases'!$B$2:$B$500,A25)</f>
        <v>6</v>
      </c>
      <c r="C25" s="12">
        <f>COUNTIFS('Test Cases'!$B$2:$B$500,A25,'Test Cases'!$I$2:$I$500,"Pass")</f>
        <v>5</v>
      </c>
      <c r="D25" s="12">
        <f>COUNTIFS('Test Cases'!$B$2:$B$500,A25,'Test Cases'!$I$2:$I$500,"Fail")</f>
        <v>1</v>
      </c>
      <c r="E25" s="14">
        <f t="shared" si="0"/>
        <v>0.833333333333333</v>
      </c>
    </row>
    <row r="26" ht="15.75" customHeight="1" spans="1:5">
      <c r="A26" s="16" t="s">
        <v>258</v>
      </c>
      <c r="B26" s="12">
        <f>COUNTIF('Test Cases'!$B$2:$B$500,A26)</f>
        <v>9</v>
      </c>
      <c r="C26" s="12">
        <f>COUNTIFS('Test Cases'!$B$2:$B$500,A26,'Test Cases'!$I$2:$I$500,"Pass")</f>
        <v>8</v>
      </c>
      <c r="D26" s="12">
        <f>COUNTIFS('Test Cases'!$B$2:$B$500,A26,'Test Cases'!$I$2:$I$500,"Fail")</f>
        <v>1</v>
      </c>
      <c r="E26" s="14">
        <f t="shared" si="0"/>
        <v>0.888888888888889</v>
      </c>
    </row>
    <row r="27" ht="15.75" customHeight="1" spans="1:5">
      <c r="A27" s="17" t="s">
        <v>391</v>
      </c>
      <c r="B27" s="18">
        <f t="shared" ref="B27:D27" si="1">SUM(B23:B26)</f>
        <v>28</v>
      </c>
      <c r="C27" s="18">
        <f t="shared" si="1"/>
        <v>26</v>
      </c>
      <c r="D27" s="18">
        <f t="shared" si="1"/>
        <v>2</v>
      </c>
      <c r="E27" s="19">
        <f t="shared" si="0"/>
        <v>0.928571428571429</v>
      </c>
    </row>
    <row r="28" ht="15.75" customHeight="1"/>
    <row r="29" ht="21.75" customHeight="1" spans="1:5">
      <c r="A29" s="4" t="s">
        <v>410</v>
      </c>
      <c r="B29" s="2"/>
      <c r="C29" s="2"/>
      <c r="D29" s="2"/>
      <c r="E29" s="2"/>
    </row>
    <row r="30" ht="15.75" customHeight="1" spans="1:5">
      <c r="A30" s="5" t="s">
        <v>411</v>
      </c>
      <c r="B30" s="11">
        <f>COUNTA('Bug Reports'!$A$2:$A$500)</f>
        <v>6</v>
      </c>
    </row>
    <row r="31" ht="15.75" customHeight="1" spans="1:5">
      <c r="A31" s="15" t="s">
        <v>412</v>
      </c>
      <c r="B31" s="15" t="s">
        <v>413</v>
      </c>
    </row>
    <row r="32" ht="15.75" customHeight="1" spans="1:5">
      <c r="A32" s="20" t="s">
        <v>341</v>
      </c>
      <c r="B32" s="12">
        <f>COUNTIF('Bug Reports'!$H$2:$H$500,A32)</f>
        <v>1</v>
      </c>
    </row>
    <row r="33" ht="15.75" customHeight="1" spans="1:5">
      <c r="A33" s="20" t="s">
        <v>156</v>
      </c>
      <c r="B33" s="12">
        <f>COUNTIF('Bug Reports'!$H$2:$H$500,A33)</f>
        <v>1</v>
      </c>
    </row>
    <row r="34" ht="15.75" customHeight="1" spans="1:5">
      <c r="A34" s="20" t="s">
        <v>173</v>
      </c>
      <c r="B34" s="12">
        <f>COUNTIF('Bug Reports'!$H$2:$H$500,A34)</f>
        <v>4</v>
      </c>
    </row>
    <row r="35" ht="15.75" customHeight="1" spans="1:5">
      <c r="A35" s="20" t="s">
        <v>183</v>
      </c>
      <c r="B35" s="12">
        <f>COUNTIF('Bug Reports'!$H$2:$H$500,A35)</f>
        <v>0</v>
      </c>
    </row>
    <row r="36" ht="15.75" customHeight="1"/>
    <row r="37" ht="15.75" customHeight="1" spans="1:5">
      <c r="A37" s="15" t="s">
        <v>414</v>
      </c>
      <c r="B37" s="15" t="s">
        <v>413</v>
      </c>
    </row>
    <row r="38" ht="15.75" customHeight="1" spans="1:5">
      <c r="A38" s="20" t="s">
        <v>335</v>
      </c>
      <c r="B38" s="12">
        <f>COUNTIF('Bug Reports'!$I$2:$I$500,A38)</f>
        <v>2</v>
      </c>
    </row>
    <row r="39" ht="15.75" customHeight="1" spans="1:5">
      <c r="A39" s="20" t="s">
        <v>325</v>
      </c>
      <c r="B39" s="12">
        <f>COUNTIF('Bug Reports'!$I$2:$I$500,A39)</f>
        <v>1</v>
      </c>
    </row>
    <row r="40" ht="15.75" customHeight="1" spans="1:5">
      <c r="A40" s="20" t="s">
        <v>347</v>
      </c>
      <c r="B40" s="12">
        <f>COUNTIF('Bug Reports'!$I$2:$I$500,A40)</f>
        <v>3</v>
      </c>
    </row>
    <row r="41" ht="15.75" customHeight="1"/>
    <row r="42" ht="15.75" customHeight="1" spans="1:5">
      <c r="A42" s="15" t="s">
        <v>415</v>
      </c>
      <c r="B42" s="15" t="s">
        <v>413</v>
      </c>
    </row>
    <row r="43" ht="15.75" customHeight="1" spans="1:5">
      <c r="A43" s="20" t="s">
        <v>149</v>
      </c>
      <c r="B43" s="12">
        <f>COUNTIF('Bug Reports'!$C$2:$C$500,A43)</f>
        <v>0</v>
      </c>
    </row>
    <row r="44" ht="15.75" customHeight="1" spans="1:5">
      <c r="A44" s="20" t="s">
        <v>195</v>
      </c>
      <c r="B44" s="12">
        <f>COUNTIF('Bug Reports'!$C$2:$C$500,A44)</f>
        <v>2</v>
      </c>
    </row>
    <row r="45" ht="15.75" customHeight="1" spans="1:5">
      <c r="A45" s="20" t="s">
        <v>221</v>
      </c>
      <c r="B45" s="12">
        <f>COUNTIF('Bug Reports'!$C$2:$C$500,A45)</f>
        <v>1</v>
      </c>
    </row>
    <row r="46" ht="15.75" customHeight="1" spans="1:5">
      <c r="A46" s="20" t="s">
        <v>258</v>
      </c>
      <c r="B46" s="12">
        <f>COUNTIF('Bug Reports'!$C$2:$C$500,A46)</f>
        <v>3</v>
      </c>
    </row>
    <row r="47" ht="15.75" customHeight="1"/>
    <row r="48" ht="21.75" customHeight="1" spans="1:5">
      <c r="A48" s="4" t="s">
        <v>416</v>
      </c>
      <c r="B48" s="2"/>
      <c r="C48" s="2"/>
      <c r="D48" s="2"/>
      <c r="E48" s="2"/>
    </row>
    <row r="49" ht="30" customHeight="1" spans="1:5">
      <c r="A49" s="21" t="str">
        <f>"• "&amp;B14&amp;" of "&amp;B13&amp;" test cases passed — pass rate "&amp;TEXT(B17,"0.0%")&amp;"."</f>
        <v>• 26 of 28 test cases passed — pass rate 92.9%.</v>
      </c>
      <c r="B49" s="7"/>
      <c r="C49" s="7"/>
      <c r="D49" s="7"/>
      <c r="E49" s="8"/>
    </row>
    <row r="50" ht="30" customHeight="1" spans="1:5">
      <c r="A50" s="21" t="str">
        <f>"• "&amp;B15&amp;" test case(s) failed. Both failures are linked to logged defects (BUG_05, BUG_06) — see the RTM sheet."</f>
        <v>• 2 test case(s) failed. Both failures are linked to logged defects (BUG_05, BUG_06) — see the RTM sheet.</v>
      </c>
      <c r="B50" s="7"/>
      <c r="C50" s="7"/>
      <c r="D50" s="7"/>
      <c r="E50" s="8"/>
    </row>
    <row r="51" ht="30" customHeight="1" spans="1:5">
      <c r="A51" s="21" t="s">
        <v>417</v>
      </c>
      <c r="B51" s="7"/>
      <c r="C51" s="7"/>
      <c r="D51" s="7"/>
      <c r="E51" s="8"/>
    </row>
    <row r="52" ht="30" customHeight="1" spans="1:5">
      <c r="A52" s="21" t="s">
        <v>418</v>
      </c>
      <c r="B52" s="7"/>
      <c r="C52" s="7"/>
      <c r="D52" s="7"/>
      <c r="E52" s="8"/>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E1"/>
    <mergeCell ref="A2:E2"/>
    <mergeCell ref="A4:E4"/>
    <mergeCell ref="B5:E5"/>
    <mergeCell ref="B6:E6"/>
    <mergeCell ref="B7:E7"/>
    <mergeCell ref="B8:E8"/>
    <mergeCell ref="B9:E9"/>
    <mergeCell ref="B10:E10"/>
    <mergeCell ref="A12:E12"/>
    <mergeCell ref="A21:E21"/>
    <mergeCell ref="A29:E29"/>
    <mergeCell ref="A48:E48"/>
    <mergeCell ref="A49:E49"/>
    <mergeCell ref="A50:E50"/>
    <mergeCell ref="A51:E51"/>
    <mergeCell ref="A52:E52"/>
  </mergeCells>
  <conditionalFormatting sqref="B14">
    <cfRule type="expression" dxfId="6" priority="1">
      <formula>1</formula>
    </cfRule>
  </conditionalFormatting>
  <conditionalFormatting sqref="B15">
    <cfRule type="expression" dxfId="7" priority="2">
      <formula>$B$15&gt;0</formula>
    </cfRule>
  </conditionalFormatting>
  <conditionalFormatting sqref="A32:A35">
    <cfRule type="cellIs" dxfId="2" priority="3" operator="equal">
      <formula>"Critical"</formula>
    </cfRule>
    <cfRule type="cellIs" dxfId="3" priority="4" operator="equal">
      <formula>"High"</formula>
    </cfRule>
    <cfRule type="cellIs" dxfId="4" priority="5" operator="equal">
      <formula>"Medium"</formula>
    </cfRule>
    <cfRule type="cellIs" dxfId="0" priority="6" operator="equal">
      <formula>"Low"</formula>
    </cfRule>
  </conditionalFormatting>
  <hyperlinks>
    <hyperlink ref="B10" r:id="rId2" display="https://github.com/Anushas-hub/manual-testing-portfolio/tree/main/saucedemo-test-cases"/>
  </hyperlinks>
  <pageMargins left="0.75" right="0.75" top="1" bottom="1" header="0" footer="0"/>
  <pageSetup paperSize="1" fitToHeight="0"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Test Plan</vt:lpstr>
      <vt:lpstr>Test Data</vt:lpstr>
      <vt:lpstr>Test Cases</vt:lpstr>
      <vt:lpstr>Bug Reports</vt:lpstr>
      <vt:lpstr>RTM</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Anusha Yadav</cp:lastModifiedBy>
  <dcterms:created xsi:type="dcterms:W3CDTF">2026-09-28T16:49:28Z</dcterms:created>
  <dcterms:modified xsi:type="dcterms:W3CDTF">2026-09-28T16:51:29Z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97D419649FAE472CAA37BA2CB01F889F_12</vt:lpwstr>
  </property>
  <property fmtid="{D5CDD505-2E9C-101B-9397-08002B2CF9AE}" pid="3" name="KSOProductBuildVer">
    <vt:lpwstr>1033-12.1.0.28485</vt:lpwstr>
  </property>
  <property fmtid="{D5CDD505-2E9C-101B-9397-08002B2CF9AE}" pid="4" name="CalculationRule">
    <vt:i4>0</vt:i4>
  </property>
</Properties>
</file>